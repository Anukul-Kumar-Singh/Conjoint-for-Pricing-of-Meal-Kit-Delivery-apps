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9716a3bcb2be419f/Documents/MSBA Coursework/Demand Analytics/Project/"/>
    </mc:Choice>
  </mc:AlternateContent>
  <xr:revisionPtr revIDLastSave="209" documentId="8_{8132A585-400F-4AA7-B8E1-791E496C1E36}" xr6:coauthVersionLast="47" xr6:coauthVersionMax="47" xr10:uidLastSave="{27723580-C899-42B2-8330-989799B4DCDF}"/>
  <bookViews>
    <workbookView xWindow="-108" yWindow="-108" windowWidth="23256" windowHeight="12456" firstSheet="2" activeTab="5" xr2:uid="{783AF9AF-AAB4-4671-98E6-36E0A2872914}"/>
  </bookViews>
  <sheets>
    <sheet name="Design Matrix" sheetId="1" r:id="rId1"/>
    <sheet name="Survey Encoding" sheetId="7" r:id="rId2"/>
    <sheet name="Coded Choice Data" sheetId="6" r:id="rId3"/>
    <sheet name="Utilities" sheetId="5" r:id="rId4"/>
    <sheet name="Importance" sheetId="9" r:id="rId5"/>
    <sheet name="Market Simulation" sheetId="10" r:id="rId6"/>
    <sheet name="Appendix Conjoint Design " sheetId="12" r:id="rId7"/>
  </sheets>
  <definedNames>
    <definedName name="_xlnm._FilterDatabase" localSheetId="2" hidden="1">'Coded Choice Data'!$A$1:$F$193</definedName>
    <definedName name="_xlnm._FilterDatabase" localSheetId="0" hidden="1">'Design Matrix'!$A$2:$E$2</definedName>
    <definedName name="_xlnm._FilterDatabase" localSheetId="3" hidden="1">Utilities!$N$1:$S$25</definedName>
    <definedName name="solver_adj" localSheetId="3" hidden="1">Utilities!$A$2:$L$2</definedName>
    <definedName name="solver_cvg" localSheetId="3" hidden="1">0.0001</definedName>
    <definedName name="solver_drv" localSheetId="3" hidden="1">1</definedName>
    <definedName name="solver_eng" localSheetId="3" hidden="1">1</definedName>
    <definedName name="solver_est" localSheetId="3" hidden="1">1</definedName>
    <definedName name="solver_itr" localSheetId="3" hidden="1">2147483647</definedName>
    <definedName name="solver_mip" localSheetId="3" hidden="1">2147483647</definedName>
    <definedName name="solver_mni" localSheetId="3" hidden="1">30</definedName>
    <definedName name="solver_mrt" localSheetId="3" hidden="1">0.075</definedName>
    <definedName name="solver_msl" localSheetId="3" hidden="1">2</definedName>
    <definedName name="solver_neg" localSheetId="3" hidden="1">2</definedName>
    <definedName name="solver_nod" localSheetId="3" hidden="1">2147483647</definedName>
    <definedName name="solver_num" localSheetId="3" hidden="1">0</definedName>
    <definedName name="solver_nwt" localSheetId="3" hidden="1">1</definedName>
    <definedName name="solver_opt" localSheetId="3" hidden="1">Utilities!$AM$2</definedName>
    <definedName name="solver_pre" localSheetId="3" hidden="1">0.000001</definedName>
    <definedName name="solver_rbv" localSheetId="3" hidden="1">1</definedName>
    <definedName name="solver_rlx" localSheetId="3" hidden="1">2</definedName>
    <definedName name="solver_rsd" localSheetId="3" hidden="1">0</definedName>
    <definedName name="solver_scl" localSheetId="3" hidden="1">1</definedName>
    <definedName name="solver_sho" localSheetId="3" hidden="1">2</definedName>
    <definedName name="solver_ssz" localSheetId="3" hidden="1">100</definedName>
    <definedName name="solver_tim" localSheetId="3" hidden="1">2147483647</definedName>
    <definedName name="solver_tol" localSheetId="3" hidden="1">0.01</definedName>
    <definedName name="solver_typ" localSheetId="3" hidden="1">1</definedName>
    <definedName name="solver_val" localSheetId="3" hidden="1">0</definedName>
    <definedName name="solver_ver" localSheetId="3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14" i="10" l="1"/>
  <c r="AF15" i="10"/>
  <c r="AE12" i="10"/>
  <c r="AF12" i="10" s="1"/>
  <c r="AE13" i="10"/>
  <c r="AF13" i="10" s="1"/>
  <c r="AE14" i="10"/>
  <c r="AE15" i="10"/>
  <c r="AE16" i="10"/>
  <c r="AF16" i="10" s="1"/>
  <c r="AE11" i="10"/>
  <c r="AF11" i="10" s="1"/>
  <c r="AG11" i="10" s="1"/>
  <c r="AG13" i="10" l="1"/>
  <c r="AG15" i="10"/>
  <c r="AG16" i="10"/>
  <c r="AG12" i="10"/>
  <c r="AG14" i="10"/>
  <c r="I5" i="9" l="1"/>
  <c r="I6" i="9"/>
  <c r="I7" i="9"/>
  <c r="I4" i="9"/>
  <c r="H5" i="9"/>
  <c r="H6" i="9"/>
  <c r="H7" i="9"/>
  <c r="H4" i="9"/>
  <c r="G7" i="9"/>
  <c r="F7" i="9"/>
  <c r="G6" i="9"/>
  <c r="F6" i="9"/>
  <c r="G5" i="9"/>
  <c r="F5" i="9"/>
  <c r="G4" i="9"/>
  <c r="F4" i="9"/>
  <c r="S3" i="5"/>
  <c r="Z3" i="5" s="1"/>
  <c r="S4" i="5"/>
  <c r="Z4" i="5" s="1"/>
  <c r="S5" i="5"/>
  <c r="Z5" i="5" s="1"/>
  <c r="S6" i="5"/>
  <c r="Z6" i="5" s="1"/>
  <c r="S7" i="5"/>
  <c r="Z7" i="5" s="1"/>
  <c r="S8" i="5"/>
  <c r="Z8" i="5" s="1"/>
  <c r="S9" i="5"/>
  <c r="Z9" i="5" s="1"/>
  <c r="S10" i="5"/>
  <c r="Z10" i="5" s="1"/>
  <c r="S11" i="5"/>
  <c r="Z11" i="5" s="1"/>
  <c r="S12" i="5"/>
  <c r="Z12" i="5" s="1"/>
  <c r="S13" i="5"/>
  <c r="Z13" i="5" s="1"/>
  <c r="S14" i="5"/>
  <c r="Z14" i="5" s="1"/>
  <c r="S15" i="5"/>
  <c r="Z15" i="5" s="1"/>
  <c r="S16" i="5"/>
  <c r="Z16" i="5" s="1"/>
  <c r="S17" i="5"/>
  <c r="Z17" i="5" s="1"/>
  <c r="S18" i="5"/>
  <c r="Z18" i="5" s="1"/>
  <c r="S19" i="5"/>
  <c r="Z19" i="5" s="1"/>
  <c r="S20" i="5"/>
  <c r="Z20" i="5" s="1"/>
  <c r="S21" i="5"/>
  <c r="Z21" i="5" s="1"/>
  <c r="S22" i="5"/>
  <c r="Z22" i="5" s="1"/>
  <c r="S23" i="5"/>
  <c r="Z23" i="5" s="1"/>
  <c r="S24" i="5"/>
  <c r="Z24" i="5" s="1"/>
  <c r="S25" i="5"/>
  <c r="Z25" i="5" s="1"/>
  <c r="S26" i="5"/>
  <c r="Z26" i="5" s="1"/>
  <c r="S27" i="5"/>
  <c r="Z27" i="5" s="1"/>
  <c r="S28" i="5"/>
  <c r="Z28" i="5" s="1"/>
  <c r="S29" i="5"/>
  <c r="Z29" i="5" s="1"/>
  <c r="S30" i="5"/>
  <c r="Z30" i="5" s="1"/>
  <c r="S31" i="5"/>
  <c r="Z31" i="5" s="1"/>
  <c r="S32" i="5"/>
  <c r="Z32" i="5" s="1"/>
  <c r="S33" i="5"/>
  <c r="Z33" i="5" s="1"/>
  <c r="S34" i="5"/>
  <c r="Z34" i="5" s="1"/>
  <c r="S35" i="5"/>
  <c r="Z35" i="5" s="1"/>
  <c r="S36" i="5"/>
  <c r="Z36" i="5" s="1"/>
  <c r="S37" i="5"/>
  <c r="Z37" i="5" s="1"/>
  <c r="S38" i="5"/>
  <c r="Z38" i="5" s="1"/>
  <c r="S39" i="5"/>
  <c r="Z39" i="5" s="1"/>
  <c r="S40" i="5"/>
  <c r="Z40" i="5" s="1"/>
  <c r="S41" i="5"/>
  <c r="Z41" i="5" s="1"/>
  <c r="S42" i="5"/>
  <c r="Z42" i="5" s="1"/>
  <c r="S43" i="5"/>
  <c r="Z43" i="5" s="1"/>
  <c r="S44" i="5"/>
  <c r="Z44" i="5" s="1"/>
  <c r="S45" i="5"/>
  <c r="Z45" i="5" s="1"/>
  <c r="S46" i="5"/>
  <c r="Z46" i="5" s="1"/>
  <c r="S47" i="5"/>
  <c r="Z47" i="5" s="1"/>
  <c r="S48" i="5"/>
  <c r="Z48" i="5" s="1"/>
  <c r="S49" i="5"/>
  <c r="Z49" i="5" s="1"/>
  <c r="S50" i="5"/>
  <c r="Z50" i="5" s="1"/>
  <c r="S51" i="5"/>
  <c r="Z51" i="5" s="1"/>
  <c r="S52" i="5"/>
  <c r="Z52" i="5" s="1"/>
  <c r="S53" i="5"/>
  <c r="Z53" i="5" s="1"/>
  <c r="S54" i="5"/>
  <c r="Z54" i="5" s="1"/>
  <c r="S55" i="5"/>
  <c r="Z55" i="5" s="1"/>
  <c r="S56" i="5"/>
  <c r="Z56" i="5" s="1"/>
  <c r="S57" i="5"/>
  <c r="Z57" i="5" s="1"/>
  <c r="S58" i="5"/>
  <c r="Z58" i="5" s="1"/>
  <c r="S59" i="5"/>
  <c r="Z59" i="5" s="1"/>
  <c r="S60" i="5"/>
  <c r="Z60" i="5" s="1"/>
  <c r="S61" i="5"/>
  <c r="Z61" i="5" s="1"/>
  <c r="S62" i="5"/>
  <c r="Z62" i="5" s="1"/>
  <c r="S63" i="5"/>
  <c r="Z63" i="5" s="1"/>
  <c r="S64" i="5"/>
  <c r="Z64" i="5" s="1"/>
  <c r="S65" i="5"/>
  <c r="Z65" i="5" s="1"/>
  <c r="S66" i="5"/>
  <c r="Z66" i="5" s="1"/>
  <c r="S67" i="5"/>
  <c r="Z67" i="5" s="1"/>
  <c r="S68" i="5"/>
  <c r="Z68" i="5" s="1"/>
  <c r="S69" i="5"/>
  <c r="Z69" i="5" s="1"/>
  <c r="S70" i="5"/>
  <c r="Z70" i="5" s="1"/>
  <c r="S71" i="5"/>
  <c r="Z71" i="5" s="1"/>
  <c r="S72" i="5"/>
  <c r="Z72" i="5" s="1"/>
  <c r="S73" i="5"/>
  <c r="Z73" i="5" s="1"/>
  <c r="S74" i="5"/>
  <c r="Z74" i="5" s="1"/>
  <c r="S75" i="5"/>
  <c r="Z75" i="5" s="1"/>
  <c r="S76" i="5"/>
  <c r="Z76" i="5" s="1"/>
  <c r="S77" i="5"/>
  <c r="Z77" i="5" s="1"/>
  <c r="S78" i="5"/>
  <c r="Z78" i="5" s="1"/>
  <c r="S79" i="5"/>
  <c r="Z79" i="5" s="1"/>
  <c r="S80" i="5"/>
  <c r="Z80" i="5" s="1"/>
  <c r="S81" i="5"/>
  <c r="Z81" i="5" s="1"/>
  <c r="S82" i="5"/>
  <c r="Z82" i="5" s="1"/>
  <c r="S83" i="5"/>
  <c r="Z83" i="5" s="1"/>
  <c r="S84" i="5"/>
  <c r="Z84" i="5" s="1"/>
  <c r="S85" i="5"/>
  <c r="Z85" i="5" s="1"/>
  <c r="S86" i="5"/>
  <c r="Z86" i="5" s="1"/>
  <c r="S87" i="5"/>
  <c r="Z87" i="5" s="1"/>
  <c r="S88" i="5"/>
  <c r="Z88" i="5" s="1"/>
  <c r="S89" i="5"/>
  <c r="Z89" i="5" s="1"/>
  <c r="S90" i="5"/>
  <c r="Z90" i="5" s="1"/>
  <c r="S91" i="5"/>
  <c r="Z91" i="5" s="1"/>
  <c r="S92" i="5"/>
  <c r="Z92" i="5" s="1"/>
  <c r="S93" i="5"/>
  <c r="Z93" i="5" s="1"/>
  <c r="S94" i="5"/>
  <c r="Z94" i="5" s="1"/>
  <c r="S95" i="5"/>
  <c r="Z95" i="5" s="1"/>
  <c r="S96" i="5"/>
  <c r="Z96" i="5" s="1"/>
  <c r="S97" i="5"/>
  <c r="Z97" i="5" s="1"/>
  <c r="S98" i="5"/>
  <c r="Z98" i="5" s="1"/>
  <c r="S99" i="5"/>
  <c r="Z99" i="5" s="1"/>
  <c r="S100" i="5"/>
  <c r="Z100" i="5" s="1"/>
  <c r="S101" i="5"/>
  <c r="Z101" i="5" s="1"/>
  <c r="S102" i="5"/>
  <c r="Z102" i="5" s="1"/>
  <c r="S103" i="5"/>
  <c r="Z103" i="5" s="1"/>
  <c r="S104" i="5"/>
  <c r="Z104" i="5" s="1"/>
  <c r="S105" i="5"/>
  <c r="Z105" i="5" s="1"/>
  <c r="S106" i="5"/>
  <c r="Z106" i="5" s="1"/>
  <c r="S107" i="5"/>
  <c r="Z107" i="5" s="1"/>
  <c r="S108" i="5"/>
  <c r="Z108" i="5" s="1"/>
  <c r="S109" i="5"/>
  <c r="Z109" i="5" s="1"/>
  <c r="S110" i="5"/>
  <c r="Z110" i="5" s="1"/>
  <c r="S111" i="5"/>
  <c r="Z111" i="5" s="1"/>
  <c r="S112" i="5"/>
  <c r="Z112" i="5" s="1"/>
  <c r="S113" i="5"/>
  <c r="Z113" i="5" s="1"/>
  <c r="S114" i="5"/>
  <c r="Z114" i="5" s="1"/>
  <c r="S115" i="5"/>
  <c r="Z115" i="5" s="1"/>
  <c r="S116" i="5"/>
  <c r="Z116" i="5" s="1"/>
  <c r="S117" i="5"/>
  <c r="Z117" i="5" s="1"/>
  <c r="S118" i="5"/>
  <c r="Z118" i="5" s="1"/>
  <c r="S119" i="5"/>
  <c r="Z119" i="5" s="1"/>
  <c r="S120" i="5"/>
  <c r="Z120" i="5" s="1"/>
  <c r="S121" i="5"/>
  <c r="Z121" i="5" s="1"/>
  <c r="S122" i="5"/>
  <c r="Z122" i="5" s="1"/>
  <c r="S123" i="5"/>
  <c r="Z123" i="5" s="1"/>
  <c r="S124" i="5"/>
  <c r="Z124" i="5" s="1"/>
  <c r="S125" i="5"/>
  <c r="Z125" i="5" s="1"/>
  <c r="S126" i="5"/>
  <c r="Z126" i="5" s="1"/>
  <c r="S127" i="5"/>
  <c r="Z127" i="5" s="1"/>
  <c r="S128" i="5"/>
  <c r="Z128" i="5" s="1"/>
  <c r="S129" i="5"/>
  <c r="Z129" i="5" s="1"/>
  <c r="S130" i="5"/>
  <c r="Z130" i="5" s="1"/>
  <c r="S131" i="5"/>
  <c r="Z131" i="5" s="1"/>
  <c r="S132" i="5"/>
  <c r="Z132" i="5" s="1"/>
  <c r="S133" i="5"/>
  <c r="Z133" i="5" s="1"/>
  <c r="S134" i="5"/>
  <c r="Z134" i="5" s="1"/>
  <c r="S135" i="5"/>
  <c r="Z135" i="5" s="1"/>
  <c r="S136" i="5"/>
  <c r="Z136" i="5" s="1"/>
  <c r="S137" i="5"/>
  <c r="Z137" i="5" s="1"/>
  <c r="S138" i="5"/>
  <c r="Z138" i="5" s="1"/>
  <c r="S139" i="5"/>
  <c r="Z139" i="5" s="1"/>
  <c r="S140" i="5"/>
  <c r="Z140" i="5" s="1"/>
  <c r="S141" i="5"/>
  <c r="Z141" i="5" s="1"/>
  <c r="S142" i="5"/>
  <c r="Z142" i="5" s="1"/>
  <c r="S143" i="5"/>
  <c r="Z143" i="5" s="1"/>
  <c r="S144" i="5"/>
  <c r="Z144" i="5" s="1"/>
  <c r="S145" i="5"/>
  <c r="Z145" i="5" s="1"/>
  <c r="S146" i="5"/>
  <c r="Z146" i="5" s="1"/>
  <c r="S147" i="5"/>
  <c r="Z147" i="5" s="1"/>
  <c r="S148" i="5"/>
  <c r="Z148" i="5" s="1"/>
  <c r="S149" i="5"/>
  <c r="Z149" i="5" s="1"/>
  <c r="S150" i="5"/>
  <c r="Z150" i="5" s="1"/>
  <c r="S151" i="5"/>
  <c r="Z151" i="5" s="1"/>
  <c r="S152" i="5"/>
  <c r="Z152" i="5" s="1"/>
  <c r="S153" i="5"/>
  <c r="Z153" i="5" s="1"/>
  <c r="S154" i="5"/>
  <c r="Z154" i="5" s="1"/>
  <c r="S155" i="5"/>
  <c r="Z155" i="5" s="1"/>
  <c r="S156" i="5"/>
  <c r="Z156" i="5" s="1"/>
  <c r="S157" i="5"/>
  <c r="Z157" i="5" s="1"/>
  <c r="S158" i="5"/>
  <c r="Z158" i="5" s="1"/>
  <c r="S159" i="5"/>
  <c r="Z159" i="5" s="1"/>
  <c r="S160" i="5"/>
  <c r="Z160" i="5" s="1"/>
  <c r="S161" i="5"/>
  <c r="Z161" i="5" s="1"/>
  <c r="S162" i="5"/>
  <c r="Z162" i="5" s="1"/>
  <c r="S163" i="5"/>
  <c r="Z163" i="5" s="1"/>
  <c r="S164" i="5"/>
  <c r="Z164" i="5" s="1"/>
  <c r="S165" i="5"/>
  <c r="Z165" i="5" s="1"/>
  <c r="S166" i="5"/>
  <c r="Z166" i="5" s="1"/>
  <c r="S167" i="5"/>
  <c r="Z167" i="5" s="1"/>
  <c r="S168" i="5"/>
  <c r="Z168" i="5" s="1"/>
  <c r="S169" i="5"/>
  <c r="Z169" i="5" s="1"/>
  <c r="S170" i="5"/>
  <c r="Z170" i="5" s="1"/>
  <c r="S171" i="5"/>
  <c r="Z171" i="5" s="1"/>
  <c r="S172" i="5"/>
  <c r="Z172" i="5" s="1"/>
  <c r="S173" i="5"/>
  <c r="Z173" i="5" s="1"/>
  <c r="S174" i="5"/>
  <c r="Z174" i="5" s="1"/>
  <c r="S175" i="5"/>
  <c r="Z175" i="5" s="1"/>
  <c r="S176" i="5"/>
  <c r="Z176" i="5" s="1"/>
  <c r="S177" i="5"/>
  <c r="Z177" i="5" s="1"/>
  <c r="S178" i="5"/>
  <c r="Z178" i="5" s="1"/>
  <c r="S179" i="5"/>
  <c r="Z179" i="5" s="1"/>
  <c r="S180" i="5"/>
  <c r="Z180" i="5" s="1"/>
  <c r="S181" i="5"/>
  <c r="Z181" i="5" s="1"/>
  <c r="S182" i="5"/>
  <c r="Z182" i="5" s="1"/>
  <c r="S183" i="5"/>
  <c r="Z183" i="5" s="1"/>
  <c r="S184" i="5"/>
  <c r="Z184" i="5" s="1"/>
  <c r="S185" i="5"/>
  <c r="Z185" i="5" s="1"/>
  <c r="S186" i="5"/>
  <c r="Z186" i="5" s="1"/>
  <c r="S187" i="5"/>
  <c r="Z187" i="5" s="1"/>
  <c r="S188" i="5"/>
  <c r="Z188" i="5" s="1"/>
  <c r="S189" i="5"/>
  <c r="Z189" i="5" s="1"/>
  <c r="S190" i="5"/>
  <c r="Z190" i="5" s="1"/>
  <c r="S191" i="5"/>
  <c r="Z191" i="5" s="1"/>
  <c r="S192" i="5"/>
  <c r="Z192" i="5" s="1"/>
  <c r="S193" i="5"/>
  <c r="Z193" i="5" s="1"/>
  <c r="R3" i="5"/>
  <c r="Y3" i="5" s="1"/>
  <c r="R4" i="5"/>
  <c r="Y4" i="5" s="1"/>
  <c r="R5" i="5"/>
  <c r="Y5" i="5" s="1"/>
  <c r="R6" i="5"/>
  <c r="Y6" i="5" s="1"/>
  <c r="R7" i="5"/>
  <c r="Y7" i="5" s="1"/>
  <c r="R8" i="5"/>
  <c r="Y8" i="5" s="1"/>
  <c r="R9" i="5"/>
  <c r="Y9" i="5" s="1"/>
  <c r="R10" i="5"/>
  <c r="Y10" i="5" s="1"/>
  <c r="R11" i="5"/>
  <c r="Y11" i="5" s="1"/>
  <c r="R12" i="5"/>
  <c r="Y12" i="5" s="1"/>
  <c r="R13" i="5"/>
  <c r="Y13" i="5" s="1"/>
  <c r="R14" i="5"/>
  <c r="Y14" i="5" s="1"/>
  <c r="R15" i="5"/>
  <c r="Y15" i="5" s="1"/>
  <c r="R16" i="5"/>
  <c r="Y16" i="5" s="1"/>
  <c r="R17" i="5"/>
  <c r="Y17" i="5" s="1"/>
  <c r="R18" i="5"/>
  <c r="Y18" i="5" s="1"/>
  <c r="R19" i="5"/>
  <c r="Y19" i="5" s="1"/>
  <c r="R20" i="5"/>
  <c r="Y20" i="5" s="1"/>
  <c r="R21" i="5"/>
  <c r="Y21" i="5" s="1"/>
  <c r="R22" i="5"/>
  <c r="Y22" i="5" s="1"/>
  <c r="R23" i="5"/>
  <c r="Y23" i="5" s="1"/>
  <c r="R24" i="5"/>
  <c r="Y24" i="5" s="1"/>
  <c r="R25" i="5"/>
  <c r="Y25" i="5" s="1"/>
  <c r="R26" i="5"/>
  <c r="Y26" i="5" s="1"/>
  <c r="R27" i="5"/>
  <c r="Y27" i="5" s="1"/>
  <c r="R28" i="5"/>
  <c r="Y28" i="5" s="1"/>
  <c r="R29" i="5"/>
  <c r="Y29" i="5" s="1"/>
  <c r="R30" i="5"/>
  <c r="Y30" i="5" s="1"/>
  <c r="R31" i="5"/>
  <c r="Y31" i="5" s="1"/>
  <c r="R32" i="5"/>
  <c r="Y32" i="5" s="1"/>
  <c r="R33" i="5"/>
  <c r="Y33" i="5" s="1"/>
  <c r="R34" i="5"/>
  <c r="Y34" i="5" s="1"/>
  <c r="R35" i="5"/>
  <c r="Y35" i="5" s="1"/>
  <c r="R36" i="5"/>
  <c r="Y36" i="5" s="1"/>
  <c r="R37" i="5"/>
  <c r="Y37" i="5" s="1"/>
  <c r="R38" i="5"/>
  <c r="Y38" i="5" s="1"/>
  <c r="R39" i="5"/>
  <c r="Y39" i="5" s="1"/>
  <c r="R40" i="5"/>
  <c r="Y40" i="5" s="1"/>
  <c r="R41" i="5"/>
  <c r="Y41" i="5" s="1"/>
  <c r="R42" i="5"/>
  <c r="Y42" i="5" s="1"/>
  <c r="R43" i="5"/>
  <c r="Y43" i="5" s="1"/>
  <c r="R44" i="5"/>
  <c r="Y44" i="5" s="1"/>
  <c r="R45" i="5"/>
  <c r="Y45" i="5" s="1"/>
  <c r="R46" i="5"/>
  <c r="Y46" i="5" s="1"/>
  <c r="R47" i="5"/>
  <c r="Y47" i="5" s="1"/>
  <c r="R48" i="5"/>
  <c r="Y48" i="5" s="1"/>
  <c r="R49" i="5"/>
  <c r="Y49" i="5" s="1"/>
  <c r="R50" i="5"/>
  <c r="Y50" i="5" s="1"/>
  <c r="R51" i="5"/>
  <c r="Y51" i="5" s="1"/>
  <c r="R52" i="5"/>
  <c r="Y52" i="5" s="1"/>
  <c r="R53" i="5"/>
  <c r="Y53" i="5" s="1"/>
  <c r="R54" i="5"/>
  <c r="Y54" i="5" s="1"/>
  <c r="R55" i="5"/>
  <c r="Y55" i="5" s="1"/>
  <c r="R56" i="5"/>
  <c r="Y56" i="5" s="1"/>
  <c r="R57" i="5"/>
  <c r="Y57" i="5" s="1"/>
  <c r="R58" i="5"/>
  <c r="Y58" i="5" s="1"/>
  <c r="R59" i="5"/>
  <c r="Y59" i="5" s="1"/>
  <c r="R60" i="5"/>
  <c r="Y60" i="5" s="1"/>
  <c r="R61" i="5"/>
  <c r="Y61" i="5" s="1"/>
  <c r="R62" i="5"/>
  <c r="Y62" i="5" s="1"/>
  <c r="R63" i="5"/>
  <c r="Y63" i="5" s="1"/>
  <c r="R64" i="5"/>
  <c r="Y64" i="5" s="1"/>
  <c r="R65" i="5"/>
  <c r="Y65" i="5" s="1"/>
  <c r="R66" i="5"/>
  <c r="Y66" i="5" s="1"/>
  <c r="R67" i="5"/>
  <c r="Y67" i="5" s="1"/>
  <c r="R68" i="5"/>
  <c r="Y68" i="5" s="1"/>
  <c r="R69" i="5"/>
  <c r="Y69" i="5" s="1"/>
  <c r="R70" i="5"/>
  <c r="Y70" i="5" s="1"/>
  <c r="R71" i="5"/>
  <c r="Y71" i="5" s="1"/>
  <c r="R72" i="5"/>
  <c r="Y72" i="5" s="1"/>
  <c r="R73" i="5"/>
  <c r="Y73" i="5" s="1"/>
  <c r="R74" i="5"/>
  <c r="Y74" i="5" s="1"/>
  <c r="R75" i="5"/>
  <c r="Y75" i="5" s="1"/>
  <c r="R76" i="5"/>
  <c r="Y76" i="5" s="1"/>
  <c r="R77" i="5"/>
  <c r="Y77" i="5" s="1"/>
  <c r="R78" i="5"/>
  <c r="Y78" i="5" s="1"/>
  <c r="R79" i="5"/>
  <c r="Y79" i="5" s="1"/>
  <c r="R80" i="5"/>
  <c r="Y80" i="5" s="1"/>
  <c r="R81" i="5"/>
  <c r="Y81" i="5" s="1"/>
  <c r="R82" i="5"/>
  <c r="Y82" i="5" s="1"/>
  <c r="R83" i="5"/>
  <c r="Y83" i="5" s="1"/>
  <c r="R84" i="5"/>
  <c r="Y84" i="5" s="1"/>
  <c r="R85" i="5"/>
  <c r="Y85" i="5" s="1"/>
  <c r="R86" i="5"/>
  <c r="Y86" i="5" s="1"/>
  <c r="R87" i="5"/>
  <c r="Y87" i="5" s="1"/>
  <c r="R88" i="5"/>
  <c r="Y88" i="5" s="1"/>
  <c r="R89" i="5"/>
  <c r="Y89" i="5" s="1"/>
  <c r="R90" i="5"/>
  <c r="Y90" i="5" s="1"/>
  <c r="R91" i="5"/>
  <c r="Y91" i="5" s="1"/>
  <c r="R92" i="5"/>
  <c r="Y92" i="5" s="1"/>
  <c r="R93" i="5"/>
  <c r="Y93" i="5" s="1"/>
  <c r="R94" i="5"/>
  <c r="Y94" i="5" s="1"/>
  <c r="R95" i="5"/>
  <c r="Y95" i="5" s="1"/>
  <c r="R96" i="5"/>
  <c r="Y96" i="5" s="1"/>
  <c r="R97" i="5"/>
  <c r="Y97" i="5" s="1"/>
  <c r="R98" i="5"/>
  <c r="Y98" i="5" s="1"/>
  <c r="R99" i="5"/>
  <c r="Y99" i="5" s="1"/>
  <c r="R100" i="5"/>
  <c r="Y100" i="5" s="1"/>
  <c r="R101" i="5"/>
  <c r="Y101" i="5" s="1"/>
  <c r="R102" i="5"/>
  <c r="Y102" i="5" s="1"/>
  <c r="R103" i="5"/>
  <c r="Y103" i="5" s="1"/>
  <c r="R104" i="5"/>
  <c r="Y104" i="5" s="1"/>
  <c r="R105" i="5"/>
  <c r="Y105" i="5" s="1"/>
  <c r="R106" i="5"/>
  <c r="Y106" i="5" s="1"/>
  <c r="R107" i="5"/>
  <c r="Y107" i="5" s="1"/>
  <c r="R108" i="5"/>
  <c r="Y108" i="5" s="1"/>
  <c r="R109" i="5"/>
  <c r="Y109" i="5" s="1"/>
  <c r="R110" i="5"/>
  <c r="Y110" i="5" s="1"/>
  <c r="R111" i="5"/>
  <c r="Y111" i="5" s="1"/>
  <c r="R112" i="5"/>
  <c r="Y112" i="5" s="1"/>
  <c r="R113" i="5"/>
  <c r="Y113" i="5" s="1"/>
  <c r="R114" i="5"/>
  <c r="Y114" i="5" s="1"/>
  <c r="R115" i="5"/>
  <c r="Y115" i="5" s="1"/>
  <c r="R116" i="5"/>
  <c r="Y116" i="5" s="1"/>
  <c r="R117" i="5"/>
  <c r="Y117" i="5" s="1"/>
  <c r="R118" i="5"/>
  <c r="Y118" i="5" s="1"/>
  <c r="R119" i="5"/>
  <c r="Y119" i="5" s="1"/>
  <c r="R120" i="5"/>
  <c r="Y120" i="5" s="1"/>
  <c r="R121" i="5"/>
  <c r="Y121" i="5" s="1"/>
  <c r="R122" i="5"/>
  <c r="Y122" i="5" s="1"/>
  <c r="R123" i="5"/>
  <c r="Y123" i="5" s="1"/>
  <c r="R124" i="5"/>
  <c r="Y124" i="5" s="1"/>
  <c r="R125" i="5"/>
  <c r="Y125" i="5" s="1"/>
  <c r="R126" i="5"/>
  <c r="Y126" i="5" s="1"/>
  <c r="R127" i="5"/>
  <c r="Y127" i="5" s="1"/>
  <c r="R128" i="5"/>
  <c r="Y128" i="5" s="1"/>
  <c r="R129" i="5"/>
  <c r="Y129" i="5" s="1"/>
  <c r="R130" i="5"/>
  <c r="Y130" i="5" s="1"/>
  <c r="R131" i="5"/>
  <c r="Y131" i="5" s="1"/>
  <c r="R132" i="5"/>
  <c r="Y132" i="5" s="1"/>
  <c r="R133" i="5"/>
  <c r="Y133" i="5" s="1"/>
  <c r="R134" i="5"/>
  <c r="Y134" i="5" s="1"/>
  <c r="R135" i="5"/>
  <c r="Y135" i="5" s="1"/>
  <c r="R136" i="5"/>
  <c r="Y136" i="5" s="1"/>
  <c r="R137" i="5"/>
  <c r="Y137" i="5" s="1"/>
  <c r="R138" i="5"/>
  <c r="Y138" i="5" s="1"/>
  <c r="R139" i="5"/>
  <c r="Y139" i="5" s="1"/>
  <c r="R140" i="5"/>
  <c r="Y140" i="5" s="1"/>
  <c r="R141" i="5"/>
  <c r="Y141" i="5" s="1"/>
  <c r="R142" i="5"/>
  <c r="Y142" i="5" s="1"/>
  <c r="R143" i="5"/>
  <c r="Y143" i="5" s="1"/>
  <c r="R144" i="5"/>
  <c r="Y144" i="5" s="1"/>
  <c r="R145" i="5"/>
  <c r="Y145" i="5" s="1"/>
  <c r="R146" i="5"/>
  <c r="Y146" i="5" s="1"/>
  <c r="R147" i="5"/>
  <c r="Y147" i="5" s="1"/>
  <c r="R148" i="5"/>
  <c r="Y148" i="5" s="1"/>
  <c r="R149" i="5"/>
  <c r="Y149" i="5" s="1"/>
  <c r="R150" i="5"/>
  <c r="Y150" i="5" s="1"/>
  <c r="R151" i="5"/>
  <c r="Y151" i="5" s="1"/>
  <c r="R152" i="5"/>
  <c r="Y152" i="5" s="1"/>
  <c r="R153" i="5"/>
  <c r="Y153" i="5" s="1"/>
  <c r="R154" i="5"/>
  <c r="Y154" i="5" s="1"/>
  <c r="R155" i="5"/>
  <c r="Y155" i="5" s="1"/>
  <c r="R156" i="5"/>
  <c r="Y156" i="5" s="1"/>
  <c r="R157" i="5"/>
  <c r="Y157" i="5" s="1"/>
  <c r="R158" i="5"/>
  <c r="Y158" i="5" s="1"/>
  <c r="R159" i="5"/>
  <c r="Y159" i="5" s="1"/>
  <c r="R160" i="5"/>
  <c r="Y160" i="5" s="1"/>
  <c r="R161" i="5"/>
  <c r="Y161" i="5" s="1"/>
  <c r="R162" i="5"/>
  <c r="Y162" i="5" s="1"/>
  <c r="R163" i="5"/>
  <c r="Y163" i="5" s="1"/>
  <c r="R164" i="5"/>
  <c r="Y164" i="5" s="1"/>
  <c r="R165" i="5"/>
  <c r="Y165" i="5" s="1"/>
  <c r="R166" i="5"/>
  <c r="Y166" i="5" s="1"/>
  <c r="R167" i="5"/>
  <c r="Y167" i="5" s="1"/>
  <c r="R168" i="5"/>
  <c r="Y168" i="5" s="1"/>
  <c r="R169" i="5"/>
  <c r="Y169" i="5" s="1"/>
  <c r="R170" i="5"/>
  <c r="Y170" i="5" s="1"/>
  <c r="R171" i="5"/>
  <c r="Y171" i="5" s="1"/>
  <c r="R172" i="5"/>
  <c r="Y172" i="5" s="1"/>
  <c r="R173" i="5"/>
  <c r="Y173" i="5" s="1"/>
  <c r="R174" i="5"/>
  <c r="Y174" i="5" s="1"/>
  <c r="R175" i="5"/>
  <c r="Y175" i="5" s="1"/>
  <c r="R176" i="5"/>
  <c r="Y176" i="5" s="1"/>
  <c r="R177" i="5"/>
  <c r="Y177" i="5" s="1"/>
  <c r="R178" i="5"/>
  <c r="Y178" i="5" s="1"/>
  <c r="R179" i="5"/>
  <c r="Y179" i="5" s="1"/>
  <c r="R180" i="5"/>
  <c r="Y180" i="5" s="1"/>
  <c r="R181" i="5"/>
  <c r="Y181" i="5" s="1"/>
  <c r="R182" i="5"/>
  <c r="Y182" i="5" s="1"/>
  <c r="R183" i="5"/>
  <c r="Y183" i="5" s="1"/>
  <c r="R184" i="5"/>
  <c r="Y184" i="5" s="1"/>
  <c r="R185" i="5"/>
  <c r="Y185" i="5" s="1"/>
  <c r="R186" i="5"/>
  <c r="Y186" i="5" s="1"/>
  <c r="R187" i="5"/>
  <c r="Y187" i="5" s="1"/>
  <c r="R188" i="5"/>
  <c r="Y188" i="5" s="1"/>
  <c r="R189" i="5"/>
  <c r="Y189" i="5" s="1"/>
  <c r="R190" i="5"/>
  <c r="Y190" i="5" s="1"/>
  <c r="R191" i="5"/>
  <c r="Y191" i="5" s="1"/>
  <c r="R192" i="5"/>
  <c r="Y192" i="5" s="1"/>
  <c r="R193" i="5"/>
  <c r="Y193" i="5" s="1"/>
  <c r="Q3" i="5"/>
  <c r="X3" i="5" s="1"/>
  <c r="Q4" i="5"/>
  <c r="X4" i="5" s="1"/>
  <c r="Q5" i="5"/>
  <c r="X5" i="5" s="1"/>
  <c r="Q6" i="5"/>
  <c r="X6" i="5" s="1"/>
  <c r="Q7" i="5"/>
  <c r="X7" i="5" s="1"/>
  <c r="Q8" i="5"/>
  <c r="X8" i="5" s="1"/>
  <c r="Q9" i="5"/>
  <c r="X9" i="5" s="1"/>
  <c r="Q10" i="5"/>
  <c r="X10" i="5" s="1"/>
  <c r="Q11" i="5"/>
  <c r="X11" i="5" s="1"/>
  <c r="Q12" i="5"/>
  <c r="X12" i="5" s="1"/>
  <c r="Q13" i="5"/>
  <c r="X13" i="5" s="1"/>
  <c r="Q14" i="5"/>
  <c r="X14" i="5" s="1"/>
  <c r="Q15" i="5"/>
  <c r="X15" i="5" s="1"/>
  <c r="Q16" i="5"/>
  <c r="X16" i="5" s="1"/>
  <c r="Q17" i="5"/>
  <c r="X17" i="5" s="1"/>
  <c r="Q18" i="5"/>
  <c r="X18" i="5" s="1"/>
  <c r="Q19" i="5"/>
  <c r="X19" i="5" s="1"/>
  <c r="Q20" i="5"/>
  <c r="X20" i="5" s="1"/>
  <c r="Q21" i="5"/>
  <c r="X21" i="5" s="1"/>
  <c r="Q22" i="5"/>
  <c r="X22" i="5" s="1"/>
  <c r="Q23" i="5"/>
  <c r="X23" i="5" s="1"/>
  <c r="Q24" i="5"/>
  <c r="X24" i="5" s="1"/>
  <c r="Q25" i="5"/>
  <c r="X25" i="5" s="1"/>
  <c r="Q26" i="5"/>
  <c r="X26" i="5" s="1"/>
  <c r="Q27" i="5"/>
  <c r="X27" i="5" s="1"/>
  <c r="Q28" i="5"/>
  <c r="X28" i="5" s="1"/>
  <c r="Q29" i="5"/>
  <c r="X29" i="5" s="1"/>
  <c r="Q30" i="5"/>
  <c r="X30" i="5" s="1"/>
  <c r="Q31" i="5"/>
  <c r="X31" i="5" s="1"/>
  <c r="Q32" i="5"/>
  <c r="X32" i="5" s="1"/>
  <c r="Q33" i="5"/>
  <c r="X33" i="5" s="1"/>
  <c r="Q34" i="5"/>
  <c r="X34" i="5" s="1"/>
  <c r="Q35" i="5"/>
  <c r="X35" i="5" s="1"/>
  <c r="Q36" i="5"/>
  <c r="X36" i="5" s="1"/>
  <c r="Q37" i="5"/>
  <c r="X37" i="5" s="1"/>
  <c r="Q38" i="5"/>
  <c r="X38" i="5" s="1"/>
  <c r="Q39" i="5"/>
  <c r="X39" i="5" s="1"/>
  <c r="Q40" i="5"/>
  <c r="X40" i="5" s="1"/>
  <c r="Q41" i="5"/>
  <c r="X41" i="5" s="1"/>
  <c r="Q42" i="5"/>
  <c r="X42" i="5" s="1"/>
  <c r="Q43" i="5"/>
  <c r="X43" i="5" s="1"/>
  <c r="Q44" i="5"/>
  <c r="X44" i="5" s="1"/>
  <c r="Q45" i="5"/>
  <c r="X45" i="5" s="1"/>
  <c r="Q46" i="5"/>
  <c r="X46" i="5" s="1"/>
  <c r="Q47" i="5"/>
  <c r="X47" i="5" s="1"/>
  <c r="Q48" i="5"/>
  <c r="X48" i="5" s="1"/>
  <c r="Q49" i="5"/>
  <c r="X49" i="5" s="1"/>
  <c r="Q50" i="5"/>
  <c r="X50" i="5" s="1"/>
  <c r="Q51" i="5"/>
  <c r="X51" i="5" s="1"/>
  <c r="Q52" i="5"/>
  <c r="X52" i="5" s="1"/>
  <c r="Q53" i="5"/>
  <c r="X53" i="5" s="1"/>
  <c r="Q54" i="5"/>
  <c r="X54" i="5" s="1"/>
  <c r="Q55" i="5"/>
  <c r="X55" i="5" s="1"/>
  <c r="Q56" i="5"/>
  <c r="X56" i="5" s="1"/>
  <c r="Q57" i="5"/>
  <c r="X57" i="5" s="1"/>
  <c r="Q58" i="5"/>
  <c r="X58" i="5" s="1"/>
  <c r="Q59" i="5"/>
  <c r="X59" i="5" s="1"/>
  <c r="Q60" i="5"/>
  <c r="X60" i="5" s="1"/>
  <c r="Q61" i="5"/>
  <c r="X61" i="5" s="1"/>
  <c r="Q62" i="5"/>
  <c r="X62" i="5" s="1"/>
  <c r="Q63" i="5"/>
  <c r="X63" i="5" s="1"/>
  <c r="Q64" i="5"/>
  <c r="X64" i="5" s="1"/>
  <c r="Q65" i="5"/>
  <c r="X65" i="5" s="1"/>
  <c r="Q66" i="5"/>
  <c r="X66" i="5" s="1"/>
  <c r="Q67" i="5"/>
  <c r="X67" i="5" s="1"/>
  <c r="Q68" i="5"/>
  <c r="X68" i="5" s="1"/>
  <c r="Q69" i="5"/>
  <c r="X69" i="5" s="1"/>
  <c r="Q70" i="5"/>
  <c r="X70" i="5" s="1"/>
  <c r="Q71" i="5"/>
  <c r="X71" i="5" s="1"/>
  <c r="Q72" i="5"/>
  <c r="X72" i="5" s="1"/>
  <c r="Q73" i="5"/>
  <c r="X73" i="5" s="1"/>
  <c r="Q74" i="5"/>
  <c r="X74" i="5" s="1"/>
  <c r="Q75" i="5"/>
  <c r="X75" i="5" s="1"/>
  <c r="Q76" i="5"/>
  <c r="X76" i="5" s="1"/>
  <c r="Q77" i="5"/>
  <c r="X77" i="5" s="1"/>
  <c r="Q78" i="5"/>
  <c r="X78" i="5" s="1"/>
  <c r="Q79" i="5"/>
  <c r="X79" i="5" s="1"/>
  <c r="Q80" i="5"/>
  <c r="X80" i="5" s="1"/>
  <c r="Q81" i="5"/>
  <c r="X81" i="5" s="1"/>
  <c r="Q82" i="5"/>
  <c r="X82" i="5" s="1"/>
  <c r="Q83" i="5"/>
  <c r="X83" i="5" s="1"/>
  <c r="Q84" i="5"/>
  <c r="X84" i="5" s="1"/>
  <c r="Q85" i="5"/>
  <c r="X85" i="5" s="1"/>
  <c r="Q86" i="5"/>
  <c r="X86" i="5" s="1"/>
  <c r="Q87" i="5"/>
  <c r="X87" i="5" s="1"/>
  <c r="Q88" i="5"/>
  <c r="X88" i="5" s="1"/>
  <c r="Q89" i="5"/>
  <c r="X89" i="5" s="1"/>
  <c r="Q90" i="5"/>
  <c r="X90" i="5" s="1"/>
  <c r="Q91" i="5"/>
  <c r="X91" i="5" s="1"/>
  <c r="Q92" i="5"/>
  <c r="X92" i="5" s="1"/>
  <c r="Q93" i="5"/>
  <c r="X93" i="5" s="1"/>
  <c r="Q94" i="5"/>
  <c r="X94" i="5" s="1"/>
  <c r="Q95" i="5"/>
  <c r="X95" i="5" s="1"/>
  <c r="Q96" i="5"/>
  <c r="X96" i="5" s="1"/>
  <c r="Q97" i="5"/>
  <c r="X97" i="5" s="1"/>
  <c r="Q98" i="5"/>
  <c r="X98" i="5" s="1"/>
  <c r="Q99" i="5"/>
  <c r="X99" i="5" s="1"/>
  <c r="Q100" i="5"/>
  <c r="X100" i="5" s="1"/>
  <c r="Q101" i="5"/>
  <c r="X101" i="5" s="1"/>
  <c r="Q102" i="5"/>
  <c r="X102" i="5" s="1"/>
  <c r="Q103" i="5"/>
  <c r="X103" i="5" s="1"/>
  <c r="Q104" i="5"/>
  <c r="X104" i="5" s="1"/>
  <c r="Q105" i="5"/>
  <c r="X105" i="5" s="1"/>
  <c r="Q106" i="5"/>
  <c r="X106" i="5" s="1"/>
  <c r="Q107" i="5"/>
  <c r="X107" i="5" s="1"/>
  <c r="Q108" i="5"/>
  <c r="X108" i="5" s="1"/>
  <c r="Q109" i="5"/>
  <c r="X109" i="5" s="1"/>
  <c r="Q110" i="5"/>
  <c r="X110" i="5" s="1"/>
  <c r="Q111" i="5"/>
  <c r="X111" i="5" s="1"/>
  <c r="Q112" i="5"/>
  <c r="X112" i="5" s="1"/>
  <c r="Q113" i="5"/>
  <c r="X113" i="5" s="1"/>
  <c r="Q114" i="5"/>
  <c r="X114" i="5" s="1"/>
  <c r="Q115" i="5"/>
  <c r="X115" i="5" s="1"/>
  <c r="Q116" i="5"/>
  <c r="X116" i="5" s="1"/>
  <c r="Q117" i="5"/>
  <c r="X117" i="5" s="1"/>
  <c r="Q118" i="5"/>
  <c r="X118" i="5" s="1"/>
  <c r="Q119" i="5"/>
  <c r="X119" i="5" s="1"/>
  <c r="Q120" i="5"/>
  <c r="X120" i="5" s="1"/>
  <c r="Q121" i="5"/>
  <c r="X121" i="5" s="1"/>
  <c r="Q122" i="5"/>
  <c r="X122" i="5" s="1"/>
  <c r="Q123" i="5"/>
  <c r="X123" i="5" s="1"/>
  <c r="Q124" i="5"/>
  <c r="X124" i="5" s="1"/>
  <c r="Q125" i="5"/>
  <c r="X125" i="5" s="1"/>
  <c r="Q126" i="5"/>
  <c r="X126" i="5" s="1"/>
  <c r="Q127" i="5"/>
  <c r="X127" i="5" s="1"/>
  <c r="Q128" i="5"/>
  <c r="X128" i="5" s="1"/>
  <c r="Q129" i="5"/>
  <c r="X129" i="5" s="1"/>
  <c r="Q130" i="5"/>
  <c r="X130" i="5" s="1"/>
  <c r="Q131" i="5"/>
  <c r="X131" i="5" s="1"/>
  <c r="Q132" i="5"/>
  <c r="X132" i="5" s="1"/>
  <c r="Q133" i="5"/>
  <c r="X133" i="5" s="1"/>
  <c r="Q134" i="5"/>
  <c r="X134" i="5" s="1"/>
  <c r="Q135" i="5"/>
  <c r="X135" i="5" s="1"/>
  <c r="Q136" i="5"/>
  <c r="X136" i="5" s="1"/>
  <c r="Q137" i="5"/>
  <c r="X137" i="5" s="1"/>
  <c r="Q138" i="5"/>
  <c r="X138" i="5" s="1"/>
  <c r="Q139" i="5"/>
  <c r="X139" i="5" s="1"/>
  <c r="Q140" i="5"/>
  <c r="X140" i="5" s="1"/>
  <c r="Q141" i="5"/>
  <c r="X141" i="5" s="1"/>
  <c r="Q142" i="5"/>
  <c r="X142" i="5" s="1"/>
  <c r="Q143" i="5"/>
  <c r="X143" i="5" s="1"/>
  <c r="Q144" i="5"/>
  <c r="X144" i="5" s="1"/>
  <c r="Q145" i="5"/>
  <c r="X145" i="5" s="1"/>
  <c r="Q146" i="5"/>
  <c r="X146" i="5" s="1"/>
  <c r="Q147" i="5"/>
  <c r="X147" i="5" s="1"/>
  <c r="Q148" i="5"/>
  <c r="X148" i="5" s="1"/>
  <c r="Q149" i="5"/>
  <c r="X149" i="5" s="1"/>
  <c r="Q150" i="5"/>
  <c r="X150" i="5" s="1"/>
  <c r="Q151" i="5"/>
  <c r="X151" i="5" s="1"/>
  <c r="Q152" i="5"/>
  <c r="X152" i="5" s="1"/>
  <c r="Q153" i="5"/>
  <c r="X153" i="5" s="1"/>
  <c r="Q154" i="5"/>
  <c r="X154" i="5" s="1"/>
  <c r="Q155" i="5"/>
  <c r="X155" i="5" s="1"/>
  <c r="Q156" i="5"/>
  <c r="X156" i="5" s="1"/>
  <c r="Q157" i="5"/>
  <c r="X157" i="5" s="1"/>
  <c r="Q158" i="5"/>
  <c r="X158" i="5" s="1"/>
  <c r="Q159" i="5"/>
  <c r="X159" i="5" s="1"/>
  <c r="Q160" i="5"/>
  <c r="X160" i="5" s="1"/>
  <c r="Q161" i="5"/>
  <c r="X161" i="5" s="1"/>
  <c r="Q162" i="5"/>
  <c r="X162" i="5" s="1"/>
  <c r="Q163" i="5"/>
  <c r="X163" i="5" s="1"/>
  <c r="Q164" i="5"/>
  <c r="X164" i="5" s="1"/>
  <c r="Q165" i="5"/>
  <c r="X165" i="5" s="1"/>
  <c r="Q166" i="5"/>
  <c r="X166" i="5" s="1"/>
  <c r="Q167" i="5"/>
  <c r="X167" i="5" s="1"/>
  <c r="Q168" i="5"/>
  <c r="X168" i="5" s="1"/>
  <c r="Q169" i="5"/>
  <c r="X169" i="5" s="1"/>
  <c r="Q170" i="5"/>
  <c r="X170" i="5" s="1"/>
  <c r="Q171" i="5"/>
  <c r="X171" i="5" s="1"/>
  <c r="Q172" i="5"/>
  <c r="X172" i="5" s="1"/>
  <c r="Q173" i="5"/>
  <c r="X173" i="5" s="1"/>
  <c r="Q174" i="5"/>
  <c r="X174" i="5" s="1"/>
  <c r="Q175" i="5"/>
  <c r="X175" i="5" s="1"/>
  <c r="Q176" i="5"/>
  <c r="X176" i="5" s="1"/>
  <c r="Q177" i="5"/>
  <c r="X177" i="5" s="1"/>
  <c r="Q178" i="5"/>
  <c r="X178" i="5" s="1"/>
  <c r="Q179" i="5"/>
  <c r="X179" i="5" s="1"/>
  <c r="Q180" i="5"/>
  <c r="X180" i="5" s="1"/>
  <c r="Q181" i="5"/>
  <c r="X181" i="5" s="1"/>
  <c r="Q182" i="5"/>
  <c r="X182" i="5" s="1"/>
  <c r="Q183" i="5"/>
  <c r="X183" i="5" s="1"/>
  <c r="Q184" i="5"/>
  <c r="X184" i="5" s="1"/>
  <c r="Q185" i="5"/>
  <c r="X185" i="5" s="1"/>
  <c r="Q186" i="5"/>
  <c r="X186" i="5" s="1"/>
  <c r="Q187" i="5"/>
  <c r="X187" i="5" s="1"/>
  <c r="Q188" i="5"/>
  <c r="X188" i="5" s="1"/>
  <c r="Q189" i="5"/>
  <c r="X189" i="5" s="1"/>
  <c r="Q190" i="5"/>
  <c r="X190" i="5" s="1"/>
  <c r="Q191" i="5"/>
  <c r="X191" i="5" s="1"/>
  <c r="Q192" i="5"/>
  <c r="X192" i="5" s="1"/>
  <c r="Q193" i="5"/>
  <c r="X193" i="5" s="1"/>
  <c r="S2" i="5"/>
  <c r="Z2" i="5" s="1"/>
  <c r="Q2" i="5"/>
  <c r="X2" i="5" s="1"/>
  <c r="R2" i="5"/>
  <c r="Y2" i="5" s="1"/>
  <c r="P3" i="5"/>
  <c r="W3" i="5" s="1"/>
  <c r="P4" i="5"/>
  <c r="W4" i="5" s="1"/>
  <c r="P5" i="5"/>
  <c r="W5" i="5" s="1"/>
  <c r="P6" i="5"/>
  <c r="W6" i="5" s="1"/>
  <c r="P7" i="5"/>
  <c r="W7" i="5" s="1"/>
  <c r="P8" i="5"/>
  <c r="W8" i="5" s="1"/>
  <c r="P9" i="5"/>
  <c r="W9" i="5" s="1"/>
  <c r="P10" i="5"/>
  <c r="W10" i="5" s="1"/>
  <c r="P11" i="5"/>
  <c r="W11" i="5" s="1"/>
  <c r="P12" i="5"/>
  <c r="W12" i="5" s="1"/>
  <c r="P13" i="5"/>
  <c r="W13" i="5" s="1"/>
  <c r="P14" i="5"/>
  <c r="W14" i="5" s="1"/>
  <c r="P15" i="5"/>
  <c r="W15" i="5" s="1"/>
  <c r="P16" i="5"/>
  <c r="W16" i="5" s="1"/>
  <c r="P17" i="5"/>
  <c r="W17" i="5" s="1"/>
  <c r="P18" i="5"/>
  <c r="W18" i="5" s="1"/>
  <c r="P19" i="5"/>
  <c r="W19" i="5" s="1"/>
  <c r="P20" i="5"/>
  <c r="W20" i="5" s="1"/>
  <c r="P21" i="5"/>
  <c r="W21" i="5" s="1"/>
  <c r="P22" i="5"/>
  <c r="W22" i="5" s="1"/>
  <c r="P23" i="5"/>
  <c r="W23" i="5" s="1"/>
  <c r="P24" i="5"/>
  <c r="W24" i="5" s="1"/>
  <c r="P25" i="5"/>
  <c r="W25" i="5" s="1"/>
  <c r="P26" i="5"/>
  <c r="W26" i="5" s="1"/>
  <c r="P27" i="5"/>
  <c r="W27" i="5" s="1"/>
  <c r="P28" i="5"/>
  <c r="W28" i="5" s="1"/>
  <c r="P29" i="5"/>
  <c r="W29" i="5" s="1"/>
  <c r="P30" i="5"/>
  <c r="W30" i="5" s="1"/>
  <c r="P31" i="5"/>
  <c r="W31" i="5" s="1"/>
  <c r="P32" i="5"/>
  <c r="W32" i="5" s="1"/>
  <c r="P33" i="5"/>
  <c r="W33" i="5" s="1"/>
  <c r="P34" i="5"/>
  <c r="W34" i="5" s="1"/>
  <c r="P35" i="5"/>
  <c r="W35" i="5" s="1"/>
  <c r="P36" i="5"/>
  <c r="W36" i="5" s="1"/>
  <c r="P37" i="5"/>
  <c r="W37" i="5" s="1"/>
  <c r="P38" i="5"/>
  <c r="W38" i="5" s="1"/>
  <c r="P39" i="5"/>
  <c r="W39" i="5" s="1"/>
  <c r="P40" i="5"/>
  <c r="W40" i="5" s="1"/>
  <c r="P41" i="5"/>
  <c r="W41" i="5" s="1"/>
  <c r="P42" i="5"/>
  <c r="W42" i="5" s="1"/>
  <c r="P43" i="5"/>
  <c r="W43" i="5" s="1"/>
  <c r="P44" i="5"/>
  <c r="W44" i="5" s="1"/>
  <c r="P45" i="5"/>
  <c r="W45" i="5" s="1"/>
  <c r="P46" i="5"/>
  <c r="W46" i="5" s="1"/>
  <c r="P47" i="5"/>
  <c r="W47" i="5" s="1"/>
  <c r="P48" i="5"/>
  <c r="W48" i="5" s="1"/>
  <c r="P49" i="5"/>
  <c r="W49" i="5" s="1"/>
  <c r="P50" i="5"/>
  <c r="W50" i="5" s="1"/>
  <c r="P51" i="5"/>
  <c r="W51" i="5" s="1"/>
  <c r="P52" i="5"/>
  <c r="W52" i="5" s="1"/>
  <c r="P53" i="5"/>
  <c r="W53" i="5" s="1"/>
  <c r="P54" i="5"/>
  <c r="W54" i="5" s="1"/>
  <c r="P55" i="5"/>
  <c r="W55" i="5" s="1"/>
  <c r="P56" i="5"/>
  <c r="W56" i="5" s="1"/>
  <c r="P57" i="5"/>
  <c r="W57" i="5" s="1"/>
  <c r="P58" i="5"/>
  <c r="W58" i="5" s="1"/>
  <c r="P59" i="5"/>
  <c r="W59" i="5" s="1"/>
  <c r="P60" i="5"/>
  <c r="W60" i="5" s="1"/>
  <c r="P61" i="5"/>
  <c r="W61" i="5" s="1"/>
  <c r="P62" i="5"/>
  <c r="W62" i="5" s="1"/>
  <c r="P63" i="5"/>
  <c r="W63" i="5" s="1"/>
  <c r="P64" i="5"/>
  <c r="W64" i="5" s="1"/>
  <c r="P65" i="5"/>
  <c r="W65" i="5" s="1"/>
  <c r="P66" i="5"/>
  <c r="W66" i="5" s="1"/>
  <c r="P67" i="5"/>
  <c r="W67" i="5" s="1"/>
  <c r="P68" i="5"/>
  <c r="W68" i="5" s="1"/>
  <c r="P69" i="5"/>
  <c r="W69" i="5" s="1"/>
  <c r="P70" i="5"/>
  <c r="W70" i="5" s="1"/>
  <c r="P71" i="5"/>
  <c r="W71" i="5" s="1"/>
  <c r="P72" i="5"/>
  <c r="W72" i="5" s="1"/>
  <c r="P73" i="5"/>
  <c r="W73" i="5" s="1"/>
  <c r="P74" i="5"/>
  <c r="W74" i="5" s="1"/>
  <c r="P75" i="5"/>
  <c r="W75" i="5" s="1"/>
  <c r="P76" i="5"/>
  <c r="W76" i="5" s="1"/>
  <c r="P77" i="5"/>
  <c r="W77" i="5" s="1"/>
  <c r="P78" i="5"/>
  <c r="W78" i="5" s="1"/>
  <c r="P79" i="5"/>
  <c r="W79" i="5" s="1"/>
  <c r="P80" i="5"/>
  <c r="W80" i="5" s="1"/>
  <c r="P81" i="5"/>
  <c r="W81" i="5" s="1"/>
  <c r="P82" i="5"/>
  <c r="W82" i="5" s="1"/>
  <c r="P83" i="5"/>
  <c r="W83" i="5" s="1"/>
  <c r="P84" i="5"/>
  <c r="W84" i="5" s="1"/>
  <c r="P85" i="5"/>
  <c r="W85" i="5" s="1"/>
  <c r="P86" i="5"/>
  <c r="W86" i="5" s="1"/>
  <c r="P87" i="5"/>
  <c r="W87" i="5" s="1"/>
  <c r="P88" i="5"/>
  <c r="W88" i="5" s="1"/>
  <c r="P89" i="5"/>
  <c r="W89" i="5" s="1"/>
  <c r="P90" i="5"/>
  <c r="W90" i="5" s="1"/>
  <c r="P91" i="5"/>
  <c r="W91" i="5" s="1"/>
  <c r="P92" i="5"/>
  <c r="W92" i="5" s="1"/>
  <c r="P93" i="5"/>
  <c r="W93" i="5" s="1"/>
  <c r="P94" i="5"/>
  <c r="W94" i="5" s="1"/>
  <c r="P95" i="5"/>
  <c r="W95" i="5" s="1"/>
  <c r="P96" i="5"/>
  <c r="W96" i="5" s="1"/>
  <c r="P97" i="5"/>
  <c r="W97" i="5" s="1"/>
  <c r="P98" i="5"/>
  <c r="W98" i="5" s="1"/>
  <c r="P99" i="5"/>
  <c r="W99" i="5" s="1"/>
  <c r="P100" i="5"/>
  <c r="W100" i="5" s="1"/>
  <c r="P101" i="5"/>
  <c r="W101" i="5" s="1"/>
  <c r="P102" i="5"/>
  <c r="W102" i="5" s="1"/>
  <c r="P103" i="5"/>
  <c r="W103" i="5" s="1"/>
  <c r="P104" i="5"/>
  <c r="W104" i="5" s="1"/>
  <c r="P105" i="5"/>
  <c r="W105" i="5" s="1"/>
  <c r="P106" i="5"/>
  <c r="W106" i="5" s="1"/>
  <c r="P107" i="5"/>
  <c r="W107" i="5" s="1"/>
  <c r="P108" i="5"/>
  <c r="W108" i="5" s="1"/>
  <c r="P109" i="5"/>
  <c r="W109" i="5" s="1"/>
  <c r="P110" i="5"/>
  <c r="W110" i="5" s="1"/>
  <c r="P111" i="5"/>
  <c r="W111" i="5" s="1"/>
  <c r="P112" i="5"/>
  <c r="W112" i="5" s="1"/>
  <c r="P113" i="5"/>
  <c r="W113" i="5" s="1"/>
  <c r="P114" i="5"/>
  <c r="W114" i="5" s="1"/>
  <c r="P115" i="5"/>
  <c r="W115" i="5" s="1"/>
  <c r="P116" i="5"/>
  <c r="W116" i="5" s="1"/>
  <c r="P117" i="5"/>
  <c r="W117" i="5" s="1"/>
  <c r="P118" i="5"/>
  <c r="W118" i="5" s="1"/>
  <c r="P119" i="5"/>
  <c r="W119" i="5" s="1"/>
  <c r="P120" i="5"/>
  <c r="W120" i="5" s="1"/>
  <c r="P121" i="5"/>
  <c r="W121" i="5" s="1"/>
  <c r="P122" i="5"/>
  <c r="W122" i="5" s="1"/>
  <c r="P123" i="5"/>
  <c r="W123" i="5" s="1"/>
  <c r="P124" i="5"/>
  <c r="W124" i="5" s="1"/>
  <c r="P125" i="5"/>
  <c r="W125" i="5" s="1"/>
  <c r="P126" i="5"/>
  <c r="W126" i="5" s="1"/>
  <c r="P127" i="5"/>
  <c r="W127" i="5" s="1"/>
  <c r="P128" i="5"/>
  <c r="W128" i="5" s="1"/>
  <c r="P129" i="5"/>
  <c r="W129" i="5" s="1"/>
  <c r="P130" i="5"/>
  <c r="W130" i="5" s="1"/>
  <c r="P131" i="5"/>
  <c r="W131" i="5" s="1"/>
  <c r="P132" i="5"/>
  <c r="W132" i="5" s="1"/>
  <c r="P133" i="5"/>
  <c r="W133" i="5" s="1"/>
  <c r="P134" i="5"/>
  <c r="W134" i="5" s="1"/>
  <c r="P135" i="5"/>
  <c r="W135" i="5" s="1"/>
  <c r="P136" i="5"/>
  <c r="W136" i="5" s="1"/>
  <c r="P137" i="5"/>
  <c r="W137" i="5" s="1"/>
  <c r="P138" i="5"/>
  <c r="W138" i="5" s="1"/>
  <c r="P139" i="5"/>
  <c r="W139" i="5" s="1"/>
  <c r="P140" i="5"/>
  <c r="W140" i="5" s="1"/>
  <c r="P141" i="5"/>
  <c r="W141" i="5" s="1"/>
  <c r="P142" i="5"/>
  <c r="W142" i="5" s="1"/>
  <c r="P143" i="5"/>
  <c r="W143" i="5" s="1"/>
  <c r="P144" i="5"/>
  <c r="W144" i="5" s="1"/>
  <c r="P145" i="5"/>
  <c r="W145" i="5" s="1"/>
  <c r="P146" i="5"/>
  <c r="W146" i="5" s="1"/>
  <c r="P147" i="5"/>
  <c r="W147" i="5" s="1"/>
  <c r="P148" i="5"/>
  <c r="W148" i="5" s="1"/>
  <c r="P149" i="5"/>
  <c r="W149" i="5" s="1"/>
  <c r="P150" i="5"/>
  <c r="W150" i="5" s="1"/>
  <c r="P151" i="5"/>
  <c r="W151" i="5" s="1"/>
  <c r="P152" i="5"/>
  <c r="W152" i="5" s="1"/>
  <c r="P153" i="5"/>
  <c r="W153" i="5" s="1"/>
  <c r="P154" i="5"/>
  <c r="W154" i="5" s="1"/>
  <c r="P155" i="5"/>
  <c r="W155" i="5" s="1"/>
  <c r="P156" i="5"/>
  <c r="W156" i="5" s="1"/>
  <c r="P157" i="5"/>
  <c r="W157" i="5" s="1"/>
  <c r="P158" i="5"/>
  <c r="W158" i="5" s="1"/>
  <c r="P159" i="5"/>
  <c r="W159" i="5" s="1"/>
  <c r="P160" i="5"/>
  <c r="W160" i="5" s="1"/>
  <c r="P161" i="5"/>
  <c r="W161" i="5" s="1"/>
  <c r="P162" i="5"/>
  <c r="W162" i="5" s="1"/>
  <c r="P163" i="5"/>
  <c r="W163" i="5" s="1"/>
  <c r="P164" i="5"/>
  <c r="W164" i="5" s="1"/>
  <c r="P165" i="5"/>
  <c r="W165" i="5" s="1"/>
  <c r="P166" i="5"/>
  <c r="W166" i="5" s="1"/>
  <c r="P167" i="5"/>
  <c r="W167" i="5" s="1"/>
  <c r="P168" i="5"/>
  <c r="W168" i="5" s="1"/>
  <c r="P169" i="5"/>
  <c r="W169" i="5" s="1"/>
  <c r="P170" i="5"/>
  <c r="W170" i="5" s="1"/>
  <c r="P171" i="5"/>
  <c r="W171" i="5" s="1"/>
  <c r="P172" i="5"/>
  <c r="W172" i="5" s="1"/>
  <c r="P173" i="5"/>
  <c r="W173" i="5" s="1"/>
  <c r="P174" i="5"/>
  <c r="W174" i="5" s="1"/>
  <c r="P175" i="5"/>
  <c r="W175" i="5" s="1"/>
  <c r="P176" i="5"/>
  <c r="W176" i="5" s="1"/>
  <c r="P177" i="5"/>
  <c r="W177" i="5" s="1"/>
  <c r="P178" i="5"/>
  <c r="W178" i="5" s="1"/>
  <c r="P179" i="5"/>
  <c r="W179" i="5" s="1"/>
  <c r="P180" i="5"/>
  <c r="W180" i="5" s="1"/>
  <c r="P181" i="5"/>
  <c r="W181" i="5" s="1"/>
  <c r="P182" i="5"/>
  <c r="W182" i="5" s="1"/>
  <c r="P183" i="5"/>
  <c r="W183" i="5" s="1"/>
  <c r="P184" i="5"/>
  <c r="W184" i="5" s="1"/>
  <c r="P185" i="5"/>
  <c r="W185" i="5" s="1"/>
  <c r="P186" i="5"/>
  <c r="W186" i="5" s="1"/>
  <c r="P187" i="5"/>
  <c r="W187" i="5" s="1"/>
  <c r="P188" i="5"/>
  <c r="W188" i="5" s="1"/>
  <c r="P189" i="5"/>
  <c r="W189" i="5" s="1"/>
  <c r="P190" i="5"/>
  <c r="W190" i="5" s="1"/>
  <c r="P191" i="5"/>
  <c r="W191" i="5" s="1"/>
  <c r="P192" i="5"/>
  <c r="W192" i="5" s="1"/>
  <c r="P193" i="5"/>
  <c r="W193" i="5" s="1"/>
  <c r="P2" i="5"/>
  <c r="W2" i="5" s="1"/>
  <c r="AD117" i="5" l="1"/>
  <c r="AD180" i="5"/>
  <c r="AD172" i="5"/>
  <c r="AD156" i="5"/>
  <c r="AD140" i="5"/>
  <c r="AD132" i="5"/>
  <c r="AD116" i="5"/>
  <c r="AD108" i="5"/>
  <c r="AD100" i="5"/>
  <c r="AD92" i="5"/>
  <c r="AD76" i="5"/>
  <c r="AD68" i="5"/>
  <c r="AD52" i="5"/>
  <c r="AD44" i="5"/>
  <c r="AD36" i="5"/>
  <c r="AD28" i="5"/>
  <c r="AD12" i="5"/>
  <c r="AD4" i="5"/>
  <c r="AD174" i="5"/>
  <c r="AD142" i="5"/>
  <c r="AD78" i="5"/>
  <c r="AD14" i="5"/>
  <c r="AD26" i="5"/>
  <c r="AD18" i="5"/>
  <c r="AF103" i="5"/>
  <c r="AE176" i="5"/>
  <c r="AD186" i="5"/>
  <c r="AD162" i="5"/>
  <c r="AD146" i="5"/>
  <c r="AD122" i="5"/>
  <c r="AD98" i="5"/>
  <c r="AD74" i="5"/>
  <c r="AD42" i="5"/>
  <c r="AD2" i="5"/>
  <c r="AD178" i="5"/>
  <c r="AD170" i="5"/>
  <c r="AD154" i="5"/>
  <c r="AD138" i="5"/>
  <c r="AD130" i="5"/>
  <c r="AD114" i="5"/>
  <c r="AD106" i="5"/>
  <c r="AD90" i="5"/>
  <c r="AD82" i="5"/>
  <c r="AD66" i="5"/>
  <c r="AD58" i="5"/>
  <c r="AD34" i="5"/>
  <c r="AD10" i="5"/>
  <c r="AD185" i="5"/>
  <c r="AD169" i="5"/>
  <c r="AD161" i="5"/>
  <c r="AD153" i="5"/>
  <c r="AD145" i="5"/>
  <c r="AD137" i="5"/>
  <c r="AD129" i="5"/>
  <c r="AD121" i="5"/>
  <c r="AD113" i="5"/>
  <c r="AD105" i="5"/>
  <c r="AD97" i="5"/>
  <c r="AD89" i="5"/>
  <c r="AD73" i="5"/>
  <c r="AD65" i="5"/>
  <c r="AD57" i="5"/>
  <c r="AD49" i="5"/>
  <c r="AD41" i="5"/>
  <c r="AD33" i="5"/>
  <c r="AD25" i="5"/>
  <c r="AD17" i="5"/>
  <c r="AD9" i="5"/>
  <c r="AE83" i="5"/>
  <c r="AG143" i="5"/>
  <c r="AD188" i="5"/>
  <c r="AE182" i="5"/>
  <c r="AE118" i="5"/>
  <c r="AD184" i="5"/>
  <c r="AD168" i="5"/>
  <c r="AD160" i="5"/>
  <c r="AD144" i="5"/>
  <c r="AD128" i="5"/>
  <c r="AD120" i="5"/>
  <c r="AD104" i="5"/>
  <c r="AD88" i="5"/>
  <c r="AD72" i="5"/>
  <c r="AD64" i="5"/>
  <c r="AD48" i="5"/>
  <c r="AD32" i="5"/>
  <c r="AD24" i="5"/>
  <c r="AD191" i="5"/>
  <c r="AD183" i="5"/>
  <c r="AD167" i="5"/>
  <c r="AD159" i="5"/>
  <c r="AD151" i="5"/>
  <c r="AD135" i="5"/>
  <c r="AD127" i="5"/>
  <c r="AD119" i="5"/>
  <c r="AD111" i="5"/>
  <c r="AD87" i="5"/>
  <c r="AD79" i="5"/>
  <c r="AD71" i="5"/>
  <c r="AD63" i="5"/>
  <c r="AD55" i="5"/>
  <c r="AD47" i="5"/>
  <c r="AD39" i="5"/>
  <c r="AD31" i="5"/>
  <c r="AD23" i="5"/>
  <c r="AD7" i="5"/>
  <c r="AE81" i="5"/>
  <c r="AG95" i="5"/>
  <c r="AD164" i="5"/>
  <c r="AD124" i="5"/>
  <c r="AD84" i="5"/>
  <c r="AE166" i="5"/>
  <c r="AE158" i="5"/>
  <c r="AE126" i="5"/>
  <c r="AE110" i="5"/>
  <c r="AE102" i="5"/>
  <c r="AE94" i="5"/>
  <c r="AE86" i="5"/>
  <c r="AE70" i="5"/>
  <c r="AE62" i="5"/>
  <c r="AE54" i="5"/>
  <c r="AE38" i="5"/>
  <c r="AE30" i="5"/>
  <c r="AE22" i="5"/>
  <c r="AE6" i="5"/>
  <c r="AD15" i="5"/>
  <c r="AD187" i="5"/>
  <c r="AD179" i="5"/>
  <c r="AD171" i="5"/>
  <c r="AD163" i="5"/>
  <c r="AD155" i="5"/>
  <c r="AD147" i="5"/>
  <c r="AD139" i="5"/>
  <c r="AD131" i="5"/>
  <c r="AD123" i="5"/>
  <c r="AD115" i="5"/>
  <c r="AD107" i="5"/>
  <c r="AD91" i="5"/>
  <c r="AD75" i="5"/>
  <c r="AD67" i="5"/>
  <c r="AD59" i="5"/>
  <c r="AD51" i="5"/>
  <c r="AD43" i="5"/>
  <c r="AD35" i="5"/>
  <c r="AD27" i="5"/>
  <c r="AD19" i="5"/>
  <c r="AD11" i="5"/>
  <c r="AD3" i="5"/>
  <c r="AE189" i="5"/>
  <c r="AE181" i="5"/>
  <c r="AE173" i="5"/>
  <c r="AE165" i="5"/>
  <c r="AE157" i="5"/>
  <c r="AE149" i="5"/>
  <c r="AE141" i="5"/>
  <c r="AE133" i="5"/>
  <c r="AE125" i="5"/>
  <c r="AE117" i="5"/>
  <c r="AE109" i="5"/>
  <c r="AE101" i="5"/>
  <c r="AE93" i="5"/>
  <c r="AE85" i="5"/>
  <c r="AE77" i="5"/>
  <c r="AE69" i="5"/>
  <c r="AE61" i="5"/>
  <c r="AE53" i="5"/>
  <c r="AE45" i="5"/>
  <c r="AE37" i="5"/>
  <c r="AE29" i="5"/>
  <c r="AE21" i="5"/>
  <c r="AE13" i="5"/>
  <c r="AE5" i="5"/>
  <c r="AF188" i="5"/>
  <c r="AF180" i="5"/>
  <c r="AF28" i="5"/>
  <c r="AD46" i="5"/>
  <c r="AE150" i="5"/>
  <c r="AE172" i="5"/>
  <c r="AD148" i="5"/>
  <c r="AD60" i="5"/>
  <c r="AD20" i="5"/>
  <c r="AD193" i="5"/>
  <c r="AE190" i="5"/>
  <c r="AE134" i="5"/>
  <c r="AD177" i="5"/>
  <c r="AD192" i="5"/>
  <c r="AD152" i="5"/>
  <c r="AD136" i="5"/>
  <c r="AD112" i="5"/>
  <c r="AD96" i="5"/>
  <c r="AD80" i="5"/>
  <c r="AD56" i="5"/>
  <c r="AD40" i="5"/>
  <c r="AD16" i="5"/>
  <c r="AD8" i="5"/>
  <c r="AF81" i="5"/>
  <c r="AF73" i="5"/>
  <c r="AF65" i="5"/>
  <c r="AE175" i="5"/>
  <c r="AD175" i="5"/>
  <c r="AF175" i="5"/>
  <c r="AD99" i="5"/>
  <c r="AE99" i="5"/>
  <c r="AF148" i="5"/>
  <c r="AF108" i="5"/>
  <c r="AF76" i="5"/>
  <c r="AF44" i="5"/>
  <c r="AF12" i="5"/>
  <c r="AG171" i="5"/>
  <c r="AG131" i="5"/>
  <c r="AG91" i="5"/>
  <c r="AG67" i="5"/>
  <c r="AG27" i="5"/>
  <c r="AD110" i="5"/>
  <c r="AD50" i="5"/>
  <c r="AG50" i="5"/>
  <c r="AF2" i="5"/>
  <c r="AE180" i="5"/>
  <c r="AE156" i="5"/>
  <c r="AE140" i="5"/>
  <c r="AE132" i="5"/>
  <c r="AE116" i="5"/>
  <c r="AE108" i="5"/>
  <c r="AE100" i="5"/>
  <c r="AE92" i="5"/>
  <c r="AE76" i="5"/>
  <c r="AE68" i="5"/>
  <c r="AE52" i="5"/>
  <c r="AE44" i="5"/>
  <c r="AE36" i="5"/>
  <c r="AE28" i="5"/>
  <c r="AE12" i="5"/>
  <c r="AE4" i="5"/>
  <c r="AF179" i="5"/>
  <c r="AF155" i="5"/>
  <c r="AF147" i="5"/>
  <c r="AF123" i="5"/>
  <c r="AF115" i="5"/>
  <c r="AF91" i="5"/>
  <c r="AF83" i="5"/>
  <c r="AF59" i="5"/>
  <c r="AF51" i="5"/>
  <c r="AG162" i="5"/>
  <c r="AG130" i="5"/>
  <c r="AG106" i="5"/>
  <c r="AG82" i="5"/>
  <c r="AG34" i="5"/>
  <c r="AD143" i="5"/>
  <c r="AE84" i="5"/>
  <c r="AF80" i="5"/>
  <c r="AE98" i="5"/>
  <c r="AD81" i="5"/>
  <c r="AE2" i="5"/>
  <c r="AE179" i="5"/>
  <c r="AE171" i="5"/>
  <c r="AE163" i="5"/>
  <c r="AE155" i="5"/>
  <c r="AE139" i="5"/>
  <c r="AE131" i="5"/>
  <c r="AE123" i="5"/>
  <c r="AE115" i="5"/>
  <c r="AE91" i="5"/>
  <c r="AE75" i="5"/>
  <c r="AE67" i="5"/>
  <c r="AE59" i="5"/>
  <c r="AE51" i="5"/>
  <c r="AE35" i="5"/>
  <c r="AE27" i="5"/>
  <c r="AE11" i="5"/>
  <c r="AE3" i="5"/>
  <c r="AF146" i="5"/>
  <c r="AF26" i="5"/>
  <c r="AG57" i="5"/>
  <c r="AG33" i="5"/>
  <c r="AG9" i="5"/>
  <c r="AE164" i="5"/>
  <c r="AF187" i="5"/>
  <c r="AF72" i="5"/>
  <c r="AG94" i="5"/>
  <c r="AF132" i="5"/>
  <c r="AF68" i="5"/>
  <c r="AF20" i="5"/>
  <c r="AG163" i="5"/>
  <c r="AG115" i="5"/>
  <c r="AG43" i="5"/>
  <c r="AE19" i="5"/>
  <c r="AG2" i="5"/>
  <c r="AE186" i="5"/>
  <c r="AE178" i="5"/>
  <c r="AE170" i="5"/>
  <c r="AE162" i="5"/>
  <c r="AE154" i="5"/>
  <c r="AE146" i="5"/>
  <c r="AE138" i="5"/>
  <c r="AE130" i="5"/>
  <c r="AE122" i="5"/>
  <c r="AE114" i="5"/>
  <c r="AE106" i="5"/>
  <c r="AE90" i="5"/>
  <c r="AF185" i="5"/>
  <c r="AF177" i="5"/>
  <c r="AF145" i="5"/>
  <c r="AF113" i="5"/>
  <c r="AF25" i="5"/>
  <c r="AG168" i="5"/>
  <c r="AG120" i="5"/>
  <c r="AG112" i="5"/>
  <c r="AG104" i="5"/>
  <c r="AE148" i="5"/>
  <c r="AF166" i="5"/>
  <c r="AF49" i="5"/>
  <c r="AD83" i="5"/>
  <c r="AF172" i="5"/>
  <c r="AF140" i="5"/>
  <c r="AF84" i="5"/>
  <c r="AF36" i="5"/>
  <c r="AG187" i="5"/>
  <c r="AG139" i="5"/>
  <c r="AG99" i="5"/>
  <c r="AG51" i="5"/>
  <c r="AG11" i="5"/>
  <c r="AD103" i="5"/>
  <c r="AE193" i="5"/>
  <c r="AE185" i="5"/>
  <c r="AE169" i="5"/>
  <c r="AE137" i="5"/>
  <c r="AF176" i="5"/>
  <c r="AF168" i="5"/>
  <c r="AF144" i="5"/>
  <c r="AF136" i="5"/>
  <c r="AF112" i="5"/>
  <c r="AG167" i="5"/>
  <c r="AG119" i="5"/>
  <c r="AG71" i="5"/>
  <c r="AE147" i="5"/>
  <c r="AE60" i="5"/>
  <c r="AF158" i="5"/>
  <c r="AF48" i="5"/>
  <c r="AG47" i="5"/>
  <c r="AE174" i="5"/>
  <c r="AF156" i="5"/>
  <c r="AF116" i="5"/>
  <c r="AF100" i="5"/>
  <c r="AF60" i="5"/>
  <c r="AG179" i="5"/>
  <c r="AG155" i="5"/>
  <c r="AG123" i="5"/>
  <c r="AG83" i="5"/>
  <c r="AG75" i="5"/>
  <c r="AG35" i="5"/>
  <c r="AG3" i="5"/>
  <c r="AD176" i="5"/>
  <c r="AD95" i="5"/>
  <c r="AD190" i="5"/>
  <c r="AD182" i="5"/>
  <c r="AD166" i="5"/>
  <c r="AD158" i="5"/>
  <c r="AD150" i="5"/>
  <c r="AD134" i="5"/>
  <c r="AD126" i="5"/>
  <c r="AD118" i="5"/>
  <c r="AD102" i="5"/>
  <c r="AD94" i="5"/>
  <c r="AD86" i="5"/>
  <c r="AD70" i="5"/>
  <c r="AD62" i="5"/>
  <c r="AD54" i="5"/>
  <c r="AD38" i="5"/>
  <c r="AD30" i="5"/>
  <c r="AD22" i="5"/>
  <c r="AD6" i="5"/>
  <c r="AE192" i="5"/>
  <c r="AE184" i="5"/>
  <c r="AE168" i="5"/>
  <c r="AE160" i="5"/>
  <c r="AE152" i="5"/>
  <c r="AE144" i="5"/>
  <c r="AE136" i="5"/>
  <c r="AE128" i="5"/>
  <c r="AE120" i="5"/>
  <c r="AE112" i="5"/>
  <c r="AE104" i="5"/>
  <c r="AE96" i="5"/>
  <c r="AE88" i="5"/>
  <c r="AE80" i="5"/>
  <c r="AE72" i="5"/>
  <c r="AE64" i="5"/>
  <c r="AE56" i="5"/>
  <c r="AE48" i="5"/>
  <c r="AE40" i="5"/>
  <c r="AE32" i="5"/>
  <c r="AE24" i="5"/>
  <c r="AE16" i="5"/>
  <c r="AE8" i="5"/>
  <c r="AF167" i="5"/>
  <c r="AF71" i="5"/>
  <c r="AF39" i="5"/>
  <c r="AG70" i="5"/>
  <c r="AG22" i="5"/>
  <c r="AE188" i="5"/>
  <c r="AE43" i="5"/>
  <c r="AF135" i="5"/>
  <c r="AG193" i="5"/>
  <c r="AG46" i="5"/>
  <c r="AF22" i="5"/>
  <c r="AE142" i="5"/>
  <c r="AF164" i="5"/>
  <c r="AF124" i="5"/>
  <c r="AF92" i="5"/>
  <c r="AF52" i="5"/>
  <c r="AF4" i="5"/>
  <c r="AG147" i="5"/>
  <c r="AG107" i="5"/>
  <c r="AG59" i="5"/>
  <c r="AG19" i="5"/>
  <c r="AD189" i="5"/>
  <c r="AD181" i="5"/>
  <c r="AD173" i="5"/>
  <c r="AD165" i="5"/>
  <c r="AD157" i="5"/>
  <c r="AD149" i="5"/>
  <c r="AD141" i="5"/>
  <c r="AD133" i="5"/>
  <c r="AD125" i="5"/>
  <c r="AD109" i="5"/>
  <c r="AD101" i="5"/>
  <c r="AD93" i="5"/>
  <c r="AD85" i="5"/>
  <c r="AD77" i="5"/>
  <c r="AD69" i="5"/>
  <c r="AD61" i="5"/>
  <c r="AD53" i="5"/>
  <c r="AD45" i="5"/>
  <c r="AD37" i="5"/>
  <c r="AD29" i="5"/>
  <c r="AD21" i="5"/>
  <c r="AD13" i="5"/>
  <c r="AD5" i="5"/>
  <c r="AE191" i="5"/>
  <c r="AE183" i="5"/>
  <c r="AE167" i="5"/>
  <c r="AE159" i="5"/>
  <c r="AE151" i="5"/>
  <c r="AE143" i="5"/>
  <c r="AE135" i="5"/>
  <c r="AE127" i="5"/>
  <c r="AE119" i="5"/>
  <c r="AE111" i="5"/>
  <c r="AE103" i="5"/>
  <c r="AE95" i="5"/>
  <c r="AE87" i="5"/>
  <c r="AE79" i="5"/>
  <c r="AE71" i="5"/>
  <c r="AF142" i="5"/>
  <c r="AF126" i="5"/>
  <c r="AF110" i="5"/>
  <c r="AF102" i="5"/>
  <c r="AF94" i="5"/>
  <c r="AF70" i="5"/>
  <c r="AF62" i="5"/>
  <c r="AF38" i="5"/>
  <c r="AF14" i="5"/>
  <c r="AG181" i="5"/>
  <c r="AG165" i="5"/>
  <c r="AG157" i="5"/>
  <c r="AG61" i="5"/>
  <c r="AE187" i="5"/>
  <c r="AE124" i="5"/>
  <c r="AF134" i="5"/>
  <c r="AG192" i="5"/>
  <c r="AE78" i="5"/>
  <c r="AE46" i="5"/>
  <c r="AE14" i="5"/>
  <c r="AF189" i="5"/>
  <c r="AF181" i="5"/>
  <c r="AF173" i="5"/>
  <c r="AF165" i="5"/>
  <c r="AF157" i="5"/>
  <c r="AF149" i="5"/>
  <c r="AF141" i="5"/>
  <c r="AF133" i="5"/>
  <c r="AF125" i="5"/>
  <c r="AF117" i="5"/>
  <c r="AF109" i="5"/>
  <c r="AF101" i="5"/>
  <c r="AF93" i="5"/>
  <c r="AF85" i="5"/>
  <c r="AF77" i="5"/>
  <c r="AF69" i="5"/>
  <c r="AF61" i="5"/>
  <c r="AF53" i="5"/>
  <c r="AF45" i="5"/>
  <c r="AF37" i="5"/>
  <c r="AF29" i="5"/>
  <c r="AF21" i="5"/>
  <c r="AF13" i="5"/>
  <c r="AF5" i="5"/>
  <c r="AG188" i="5"/>
  <c r="AG180" i="5"/>
  <c r="AG172" i="5"/>
  <c r="AG164" i="5"/>
  <c r="AG156" i="5"/>
  <c r="AG148" i="5"/>
  <c r="AG140" i="5"/>
  <c r="AG132" i="5"/>
  <c r="AG124" i="5"/>
  <c r="AG116" i="5"/>
  <c r="AG108" i="5"/>
  <c r="AG100" i="5"/>
  <c r="AG92" i="5"/>
  <c r="AG84" i="5"/>
  <c r="AG76" i="5"/>
  <c r="AG68" i="5"/>
  <c r="AG60" i="5"/>
  <c r="AG52" i="5"/>
  <c r="AG44" i="5"/>
  <c r="AG36" i="5"/>
  <c r="AG28" i="5"/>
  <c r="AG20" i="5"/>
  <c r="AG12" i="5"/>
  <c r="AG4" i="5"/>
  <c r="AE177" i="5"/>
  <c r="AE107" i="5"/>
  <c r="AE20" i="5"/>
  <c r="AF104" i="5"/>
  <c r="AG144" i="5"/>
  <c r="AF171" i="5"/>
  <c r="AF163" i="5"/>
  <c r="AF139" i="5"/>
  <c r="AF131" i="5"/>
  <c r="AF107" i="5"/>
  <c r="AF99" i="5"/>
  <c r="AF75" i="5"/>
  <c r="AF67" i="5"/>
  <c r="AF43" i="5"/>
  <c r="AF35" i="5"/>
  <c r="AF27" i="5"/>
  <c r="AF19" i="5"/>
  <c r="AF11" i="5"/>
  <c r="AF3" i="5"/>
  <c r="AG186" i="5"/>
  <c r="AG178" i="5"/>
  <c r="AG170" i="5"/>
  <c r="AG154" i="5"/>
  <c r="AG146" i="5"/>
  <c r="AG138" i="5"/>
  <c r="AG122" i="5"/>
  <c r="AG114" i="5"/>
  <c r="AG98" i="5"/>
  <c r="AG90" i="5"/>
  <c r="AG74" i="5"/>
  <c r="AG66" i="5"/>
  <c r="AG42" i="5"/>
  <c r="AG26" i="5"/>
  <c r="AG18" i="5"/>
  <c r="AF186" i="5"/>
  <c r="AF178" i="5"/>
  <c r="AF170" i="5"/>
  <c r="AF162" i="5"/>
  <c r="AF154" i="5"/>
  <c r="AF138" i="5"/>
  <c r="AF130" i="5"/>
  <c r="AF122" i="5"/>
  <c r="AF114" i="5"/>
  <c r="AF106" i="5"/>
  <c r="AF98" i="5"/>
  <c r="AF90" i="5"/>
  <c r="AF82" i="5"/>
  <c r="AF74" i="5"/>
  <c r="AF66" i="5"/>
  <c r="AF58" i="5"/>
  <c r="AF50" i="5"/>
  <c r="AF42" i="5"/>
  <c r="AF34" i="5"/>
  <c r="AF18" i="5"/>
  <c r="AF10" i="5"/>
  <c r="AG185" i="5"/>
  <c r="AG177" i="5"/>
  <c r="AG169" i="5"/>
  <c r="AG161" i="5"/>
  <c r="AG153" i="5"/>
  <c r="AG145" i="5"/>
  <c r="AG137" i="5"/>
  <c r="AG129" i="5"/>
  <c r="AG121" i="5"/>
  <c r="AG113" i="5"/>
  <c r="AG105" i="5"/>
  <c r="AG97" i="5"/>
  <c r="AG89" i="5"/>
  <c r="AG81" i="5"/>
  <c r="AG73" i="5"/>
  <c r="AG65" i="5"/>
  <c r="AG49" i="5"/>
  <c r="AG41" i="5"/>
  <c r="AG25" i="5"/>
  <c r="AG17" i="5"/>
  <c r="AE82" i="5"/>
  <c r="AE74" i="5"/>
  <c r="AE66" i="5"/>
  <c r="AE58" i="5"/>
  <c r="AE50" i="5"/>
  <c r="AE42" i="5"/>
  <c r="AE34" i="5"/>
  <c r="AE26" i="5"/>
  <c r="AE18" i="5"/>
  <c r="AE10" i="5"/>
  <c r="AF193" i="5"/>
  <c r="AF169" i="5"/>
  <c r="AF161" i="5"/>
  <c r="AF153" i="5"/>
  <c r="AF137" i="5"/>
  <c r="AF129" i="5"/>
  <c r="AF121" i="5"/>
  <c r="AF105" i="5"/>
  <c r="AF97" i="5"/>
  <c r="AF89" i="5"/>
  <c r="AF57" i="5"/>
  <c r="AF41" i="5"/>
  <c r="AF33" i="5"/>
  <c r="AF17" i="5"/>
  <c r="AF9" i="5"/>
  <c r="AG184" i="5"/>
  <c r="AG176" i="5"/>
  <c r="AG160" i="5"/>
  <c r="AG152" i="5"/>
  <c r="AG136" i="5"/>
  <c r="AG128" i="5"/>
  <c r="AG96" i="5"/>
  <c r="AG88" i="5"/>
  <c r="AG80" i="5"/>
  <c r="AG72" i="5"/>
  <c r="AG64" i="5"/>
  <c r="AG56" i="5"/>
  <c r="AG48" i="5"/>
  <c r="AG40" i="5"/>
  <c r="AG32" i="5"/>
  <c r="AG24" i="5"/>
  <c r="AG16" i="5"/>
  <c r="AE161" i="5"/>
  <c r="AE153" i="5"/>
  <c r="AE145" i="5"/>
  <c r="AE129" i="5"/>
  <c r="AE121" i="5"/>
  <c r="AE113" i="5"/>
  <c r="AE105" i="5"/>
  <c r="AE97" i="5"/>
  <c r="AE89" i="5"/>
  <c r="AE73" i="5"/>
  <c r="AE65" i="5"/>
  <c r="AE57" i="5"/>
  <c r="AE49" i="5"/>
  <c r="AE41" i="5"/>
  <c r="AE33" i="5"/>
  <c r="AE25" i="5"/>
  <c r="AE17" i="5"/>
  <c r="AE9" i="5"/>
  <c r="AF192" i="5"/>
  <c r="AF184" i="5"/>
  <c r="AF160" i="5"/>
  <c r="AF152" i="5"/>
  <c r="AF128" i="5"/>
  <c r="AF120" i="5"/>
  <c r="AF96" i="5"/>
  <c r="AF88" i="5"/>
  <c r="AF64" i="5"/>
  <c r="AF56" i="5"/>
  <c r="AF40" i="5"/>
  <c r="AF32" i="5"/>
  <c r="AF24" i="5"/>
  <c r="AF16" i="5"/>
  <c r="AF8" i="5"/>
  <c r="AG191" i="5"/>
  <c r="AG183" i="5"/>
  <c r="AG175" i="5"/>
  <c r="AG159" i="5"/>
  <c r="AG151" i="5"/>
  <c r="AG135" i="5"/>
  <c r="AG127" i="5"/>
  <c r="AG111" i="5"/>
  <c r="AG103" i="5"/>
  <c r="AG87" i="5"/>
  <c r="AG79" i="5"/>
  <c r="AG63" i="5"/>
  <c r="AG55" i="5"/>
  <c r="AG39" i="5"/>
  <c r="AG31" i="5"/>
  <c r="AG23" i="5"/>
  <c r="AG15" i="5"/>
  <c r="AG7" i="5"/>
  <c r="AG21" i="5"/>
  <c r="AF191" i="5"/>
  <c r="AF183" i="5"/>
  <c r="AF159" i="5"/>
  <c r="AF151" i="5"/>
  <c r="AF143" i="5"/>
  <c r="AF127" i="5"/>
  <c r="AF119" i="5"/>
  <c r="AF111" i="5"/>
  <c r="AF95" i="5"/>
  <c r="AF87" i="5"/>
  <c r="AF79" i="5"/>
  <c r="AF63" i="5"/>
  <c r="AF55" i="5"/>
  <c r="AF47" i="5"/>
  <c r="AF31" i="5"/>
  <c r="AF23" i="5"/>
  <c r="AF15" i="5"/>
  <c r="AF7" i="5"/>
  <c r="AG190" i="5"/>
  <c r="AG182" i="5"/>
  <c r="AG174" i="5"/>
  <c r="AG166" i="5"/>
  <c r="AG158" i="5"/>
  <c r="AG150" i="5"/>
  <c r="AG142" i="5"/>
  <c r="AG134" i="5"/>
  <c r="AG126" i="5"/>
  <c r="AG118" i="5"/>
  <c r="AG110" i="5"/>
  <c r="AG102" i="5"/>
  <c r="AG86" i="5"/>
  <c r="AG78" i="5"/>
  <c r="AG62" i="5"/>
  <c r="AG54" i="5"/>
  <c r="AG38" i="5"/>
  <c r="AG30" i="5"/>
  <c r="AG14" i="5"/>
  <c r="AG6" i="5"/>
  <c r="AG58" i="5"/>
  <c r="AG10" i="5"/>
  <c r="AE63" i="5"/>
  <c r="AE55" i="5"/>
  <c r="AE47" i="5"/>
  <c r="AE39" i="5"/>
  <c r="AE31" i="5"/>
  <c r="AE23" i="5"/>
  <c r="AE15" i="5"/>
  <c r="AE7" i="5"/>
  <c r="AF190" i="5"/>
  <c r="AF182" i="5"/>
  <c r="AF174" i="5"/>
  <c r="AF150" i="5"/>
  <c r="AF118" i="5"/>
  <c r="AF86" i="5"/>
  <c r="AF78" i="5"/>
  <c r="AF54" i="5"/>
  <c r="AF46" i="5"/>
  <c r="AF30" i="5"/>
  <c r="AF6" i="5"/>
  <c r="AG189" i="5"/>
  <c r="AG173" i="5"/>
  <c r="AG149" i="5"/>
  <c r="AG141" i="5"/>
  <c r="AG133" i="5"/>
  <c r="AG125" i="5"/>
  <c r="AG117" i="5"/>
  <c r="AG109" i="5"/>
  <c r="AG101" i="5"/>
  <c r="AG93" i="5"/>
  <c r="AG85" i="5"/>
  <c r="AG77" i="5"/>
  <c r="AG69" i="5"/>
  <c r="AG53" i="5"/>
  <c r="AG45" i="5"/>
  <c r="AG37" i="5"/>
  <c r="AG29" i="5"/>
  <c r="AG13" i="5"/>
  <c r="AG5" i="5"/>
  <c r="AG8" i="5"/>
  <c r="AK187" i="5" l="1"/>
  <c r="AL187" i="5" s="1"/>
  <c r="AK63" i="5"/>
  <c r="AL63" i="5" s="1"/>
  <c r="AK129" i="5"/>
  <c r="AL129" i="5" s="1"/>
  <c r="AK92" i="5"/>
  <c r="AL92" i="5" s="1"/>
  <c r="AK12" i="5"/>
  <c r="AL12" i="5" s="1"/>
  <c r="AK67" i="5"/>
  <c r="AL67" i="5" s="1"/>
  <c r="AK167" i="5"/>
  <c r="AL167" i="5" s="1"/>
  <c r="AK172" i="5"/>
  <c r="AL172" i="5" s="1"/>
  <c r="AK87" i="5"/>
  <c r="AL87" i="5" s="1"/>
  <c r="AK90" i="5"/>
  <c r="AL90" i="5" s="1"/>
  <c r="AK171" i="5"/>
  <c r="AL171" i="5" s="1"/>
  <c r="AK138" i="5"/>
  <c r="AL138" i="5" s="1"/>
  <c r="AK75" i="5"/>
  <c r="AL75" i="5" s="1"/>
  <c r="AK114" i="5"/>
  <c r="AL114" i="5" s="1"/>
  <c r="AK108" i="5"/>
  <c r="AL108" i="5" s="1"/>
  <c r="AK120" i="5"/>
  <c r="AL120" i="5" s="1"/>
  <c r="AK192" i="5"/>
  <c r="AL192" i="5" s="1"/>
  <c r="AK91" i="5"/>
  <c r="AL91" i="5" s="1"/>
  <c r="AK116" i="5"/>
  <c r="AL116" i="5" s="1"/>
  <c r="AK110" i="5"/>
  <c r="AL110" i="5" s="1"/>
  <c r="AK115" i="5"/>
  <c r="AL115" i="5" s="1"/>
  <c r="AK49" i="5"/>
  <c r="AL49" i="5" s="1"/>
  <c r="AK34" i="5"/>
  <c r="AL34" i="5" s="1"/>
  <c r="AK107" i="5"/>
  <c r="AL107" i="5" s="1"/>
  <c r="AK165" i="5"/>
  <c r="AL165" i="5" s="1"/>
  <c r="AK128" i="5"/>
  <c r="AL128" i="5" s="1"/>
  <c r="AK7" i="5"/>
  <c r="AL7" i="5" s="1"/>
  <c r="AK57" i="5"/>
  <c r="AL57" i="5" s="1"/>
  <c r="AK42" i="5"/>
  <c r="AL42" i="5" s="1"/>
  <c r="AK19" i="5"/>
  <c r="AL19" i="5" s="1"/>
  <c r="AK159" i="5"/>
  <c r="AL159" i="5" s="1"/>
  <c r="AK37" i="5"/>
  <c r="AL37" i="5" s="1"/>
  <c r="AK52" i="5"/>
  <c r="AL52" i="5" s="1"/>
  <c r="AK145" i="5"/>
  <c r="AL145" i="5" s="1"/>
  <c r="AK27" i="5"/>
  <c r="AL27" i="5" s="1"/>
  <c r="AK139" i="5"/>
  <c r="AL139" i="5" s="1"/>
  <c r="AK14" i="5"/>
  <c r="AL14" i="5" s="1"/>
  <c r="AK106" i="5"/>
  <c r="AL106" i="5" s="1"/>
  <c r="AK59" i="5"/>
  <c r="AL59" i="5" s="1"/>
  <c r="AK48" i="5"/>
  <c r="AL48" i="5" s="1"/>
  <c r="AK24" i="5"/>
  <c r="AL24" i="5" s="1"/>
  <c r="AK88" i="5"/>
  <c r="AL88" i="5" s="1"/>
  <c r="AK76" i="5"/>
  <c r="AL76" i="5" s="1"/>
  <c r="AK180" i="5"/>
  <c r="AL180" i="5" s="1"/>
  <c r="AK100" i="5"/>
  <c r="AL100" i="5" s="1"/>
  <c r="AK155" i="5"/>
  <c r="AL155" i="5" s="1"/>
  <c r="AK39" i="5"/>
  <c r="AL39" i="5" s="1"/>
  <c r="AK25" i="5"/>
  <c r="AL25" i="5" s="1"/>
  <c r="AK97" i="5"/>
  <c r="AL97" i="5" s="1"/>
  <c r="AK28" i="5"/>
  <c r="AL28" i="5" s="1"/>
  <c r="AK104" i="5"/>
  <c r="AL104" i="5" s="1"/>
  <c r="AK137" i="5"/>
  <c r="AL137" i="5" s="1"/>
  <c r="AK163" i="5"/>
  <c r="AL163" i="5" s="1"/>
  <c r="AK23" i="5"/>
  <c r="AL23" i="5" s="1"/>
  <c r="AK15" i="5"/>
  <c r="AL15" i="5" s="1"/>
  <c r="AK9" i="5"/>
  <c r="AL9" i="5" s="1"/>
  <c r="AK73" i="5"/>
  <c r="AL73" i="5" s="1"/>
  <c r="AK153" i="5"/>
  <c r="AL153" i="5" s="1"/>
  <c r="AK58" i="5"/>
  <c r="AL58" i="5" s="1"/>
  <c r="AK65" i="5"/>
  <c r="AL65" i="5" s="1"/>
  <c r="AK46" i="5"/>
  <c r="AL46" i="5" s="1"/>
  <c r="AK111" i="5"/>
  <c r="AL111" i="5" s="1"/>
  <c r="AK183" i="5"/>
  <c r="AL183" i="5" s="1"/>
  <c r="AK8" i="5"/>
  <c r="AL8" i="5" s="1"/>
  <c r="AK72" i="5"/>
  <c r="AL72" i="5" s="1"/>
  <c r="AK136" i="5"/>
  <c r="AL136" i="5" s="1"/>
  <c r="AK22" i="5"/>
  <c r="AL22" i="5" s="1"/>
  <c r="AK190" i="5"/>
  <c r="AL190" i="5" s="1"/>
  <c r="AK147" i="5"/>
  <c r="AL147" i="5" s="1"/>
  <c r="AK140" i="5"/>
  <c r="AL140" i="5" s="1"/>
  <c r="AK154" i="5"/>
  <c r="AL154" i="5" s="1"/>
  <c r="AK11" i="5"/>
  <c r="AL11" i="5" s="1"/>
  <c r="AK2" i="5"/>
  <c r="AL2" i="5" s="1"/>
  <c r="AK177" i="5"/>
  <c r="AL177" i="5" s="1"/>
  <c r="AK64" i="5"/>
  <c r="AL64" i="5" s="1"/>
  <c r="AK60" i="5"/>
  <c r="AL60" i="5" s="1"/>
  <c r="AK146" i="5"/>
  <c r="AL146" i="5" s="1"/>
  <c r="AK84" i="5"/>
  <c r="AL84" i="5" s="1"/>
  <c r="AK31" i="5"/>
  <c r="AL31" i="5" s="1"/>
  <c r="AK96" i="5"/>
  <c r="AL96" i="5" s="1"/>
  <c r="AK17" i="5"/>
  <c r="AL17" i="5" s="1"/>
  <c r="AK89" i="5"/>
  <c r="AL89" i="5" s="1"/>
  <c r="AK161" i="5"/>
  <c r="AL161" i="5" s="1"/>
  <c r="AK66" i="5"/>
  <c r="AL66" i="5" s="1"/>
  <c r="AK162" i="5"/>
  <c r="AL162" i="5" s="1"/>
  <c r="AK148" i="5"/>
  <c r="AL148" i="5" s="1"/>
  <c r="AK78" i="5"/>
  <c r="AL78" i="5" s="1"/>
  <c r="AK119" i="5"/>
  <c r="AL119" i="5" s="1"/>
  <c r="AK191" i="5"/>
  <c r="AL191" i="5" s="1"/>
  <c r="AK43" i="5"/>
  <c r="AL43" i="5" s="1"/>
  <c r="AK16" i="5"/>
  <c r="AL16" i="5" s="1"/>
  <c r="AK80" i="5"/>
  <c r="AL80" i="5" s="1"/>
  <c r="AK144" i="5"/>
  <c r="AL144" i="5" s="1"/>
  <c r="AK30" i="5"/>
  <c r="AL30" i="5" s="1"/>
  <c r="AK95" i="5"/>
  <c r="AL95" i="5" s="1"/>
  <c r="AK164" i="5"/>
  <c r="AL164" i="5" s="1"/>
  <c r="AK123" i="5"/>
  <c r="AL123" i="5" s="1"/>
  <c r="AK50" i="5"/>
  <c r="AL50" i="5" s="1"/>
  <c r="AK44" i="5"/>
  <c r="AL44" i="5" s="1"/>
  <c r="AK10" i="5"/>
  <c r="AL10" i="5" s="1"/>
  <c r="AK74" i="5"/>
  <c r="AL74" i="5" s="1"/>
  <c r="AK127" i="5"/>
  <c r="AL127" i="5" s="1"/>
  <c r="AK188" i="5"/>
  <c r="AL188" i="5" s="1"/>
  <c r="AK152" i="5"/>
  <c r="AL152" i="5" s="1"/>
  <c r="AK169" i="5"/>
  <c r="AL169" i="5" s="1"/>
  <c r="AK170" i="5"/>
  <c r="AL170" i="5" s="1"/>
  <c r="AK35" i="5"/>
  <c r="AL35" i="5" s="1"/>
  <c r="AK131" i="5"/>
  <c r="AL131" i="5" s="1"/>
  <c r="AK36" i="5"/>
  <c r="AL36" i="5" s="1"/>
  <c r="AK56" i="5"/>
  <c r="AL56" i="5" s="1"/>
  <c r="AK3" i="5"/>
  <c r="AL3" i="5" s="1"/>
  <c r="AK179" i="5"/>
  <c r="AL179" i="5" s="1"/>
  <c r="AK4" i="5"/>
  <c r="AL4" i="5" s="1"/>
  <c r="AK47" i="5"/>
  <c r="AL47" i="5" s="1"/>
  <c r="AK33" i="5"/>
  <c r="AL33" i="5" s="1"/>
  <c r="AK105" i="5"/>
  <c r="AL105" i="5" s="1"/>
  <c r="AK18" i="5"/>
  <c r="AL18" i="5" s="1"/>
  <c r="AK82" i="5"/>
  <c r="AL82" i="5" s="1"/>
  <c r="AK178" i="5"/>
  <c r="AL178" i="5" s="1"/>
  <c r="AK71" i="5"/>
  <c r="AL71" i="5" s="1"/>
  <c r="AK135" i="5"/>
  <c r="AL135" i="5" s="1"/>
  <c r="AK32" i="5"/>
  <c r="AL32" i="5" s="1"/>
  <c r="AK160" i="5"/>
  <c r="AL160" i="5" s="1"/>
  <c r="AK174" i="5"/>
  <c r="AL174" i="5" s="1"/>
  <c r="AK185" i="5"/>
  <c r="AL185" i="5" s="1"/>
  <c r="AK51" i="5"/>
  <c r="AL51" i="5" s="1"/>
  <c r="AK132" i="5"/>
  <c r="AL132" i="5" s="1"/>
  <c r="AK55" i="5"/>
  <c r="AL55" i="5" s="1"/>
  <c r="AK41" i="5"/>
  <c r="AL41" i="5" s="1"/>
  <c r="AK113" i="5"/>
  <c r="AL113" i="5" s="1"/>
  <c r="AK26" i="5"/>
  <c r="AL26" i="5" s="1"/>
  <c r="AK20" i="5"/>
  <c r="AL20" i="5" s="1"/>
  <c r="AK124" i="5"/>
  <c r="AL124" i="5" s="1"/>
  <c r="AK79" i="5"/>
  <c r="AL79" i="5" s="1"/>
  <c r="AK21" i="5"/>
  <c r="AL21" i="5" s="1"/>
  <c r="AK157" i="5"/>
  <c r="AL157" i="5" s="1"/>
  <c r="AK142" i="5"/>
  <c r="AL142" i="5" s="1"/>
  <c r="AK40" i="5"/>
  <c r="AL40" i="5" s="1"/>
  <c r="AK168" i="5"/>
  <c r="AL168" i="5" s="1"/>
  <c r="AK193" i="5"/>
  <c r="AL193" i="5" s="1"/>
  <c r="AK122" i="5"/>
  <c r="AL122" i="5" s="1"/>
  <c r="AK186" i="5"/>
  <c r="AL186" i="5" s="1"/>
  <c r="AK175" i="5"/>
  <c r="AL175" i="5" s="1"/>
  <c r="AK121" i="5"/>
  <c r="AL121" i="5" s="1"/>
  <c r="AK117" i="5"/>
  <c r="AL117" i="5" s="1"/>
  <c r="AK151" i="5"/>
  <c r="AL151" i="5" s="1"/>
  <c r="AK29" i="5"/>
  <c r="AL29" i="5" s="1"/>
  <c r="AK112" i="5"/>
  <c r="AL112" i="5" s="1"/>
  <c r="AK184" i="5"/>
  <c r="AL184" i="5" s="1"/>
  <c r="AK130" i="5"/>
  <c r="AL130" i="5" s="1"/>
  <c r="AK98" i="5"/>
  <c r="AL98" i="5" s="1"/>
  <c r="AK68" i="5"/>
  <c r="AL68" i="5" s="1"/>
  <c r="AK156" i="5"/>
  <c r="AL156" i="5" s="1"/>
  <c r="AK13" i="5"/>
  <c r="AL13" i="5" s="1"/>
  <c r="AK77" i="5"/>
  <c r="AL77" i="5" s="1"/>
  <c r="AK149" i="5"/>
  <c r="AL149" i="5" s="1"/>
  <c r="AK6" i="5"/>
  <c r="AL6" i="5" s="1"/>
  <c r="AK94" i="5"/>
  <c r="AL94" i="5" s="1"/>
  <c r="AK182" i="5"/>
  <c r="AL182" i="5" s="1"/>
  <c r="AK101" i="5"/>
  <c r="AL101" i="5" s="1"/>
  <c r="AK173" i="5"/>
  <c r="AL173" i="5" s="1"/>
  <c r="AK38" i="5"/>
  <c r="AL38" i="5" s="1"/>
  <c r="AK126" i="5"/>
  <c r="AL126" i="5" s="1"/>
  <c r="AK99" i="5"/>
  <c r="AL99" i="5" s="1"/>
  <c r="AK85" i="5"/>
  <c r="AL85" i="5" s="1"/>
  <c r="AK103" i="5"/>
  <c r="AL103" i="5" s="1"/>
  <c r="AK45" i="5"/>
  <c r="AL45" i="5" s="1"/>
  <c r="AK109" i="5"/>
  <c r="AL109" i="5" s="1"/>
  <c r="AK181" i="5"/>
  <c r="AL181" i="5" s="1"/>
  <c r="AK54" i="5"/>
  <c r="AL54" i="5" s="1"/>
  <c r="AK134" i="5"/>
  <c r="AL134" i="5" s="1"/>
  <c r="AK81" i="5"/>
  <c r="AL81" i="5" s="1"/>
  <c r="AK143" i="5"/>
  <c r="AL143" i="5" s="1"/>
  <c r="AK53" i="5"/>
  <c r="AL53" i="5" s="1"/>
  <c r="AK125" i="5"/>
  <c r="AL125" i="5" s="1"/>
  <c r="AK189" i="5"/>
  <c r="AL189" i="5" s="1"/>
  <c r="AK62" i="5"/>
  <c r="AL62" i="5" s="1"/>
  <c r="AK150" i="5"/>
  <c r="AL150" i="5" s="1"/>
  <c r="AK83" i="5"/>
  <c r="AL83" i="5" s="1"/>
  <c r="AK102" i="5"/>
  <c r="AL102" i="5" s="1"/>
  <c r="AK93" i="5"/>
  <c r="AL93" i="5" s="1"/>
  <c r="AK118" i="5"/>
  <c r="AL118" i="5" s="1"/>
  <c r="AK61" i="5"/>
  <c r="AL61" i="5" s="1"/>
  <c r="AK133" i="5"/>
  <c r="AL133" i="5" s="1"/>
  <c r="AK70" i="5"/>
  <c r="AL70" i="5" s="1"/>
  <c r="AK158" i="5"/>
  <c r="AL158" i="5" s="1"/>
  <c r="AK5" i="5"/>
  <c r="AL5" i="5" s="1"/>
  <c r="AK69" i="5"/>
  <c r="AL69" i="5" s="1"/>
  <c r="AK141" i="5"/>
  <c r="AL141" i="5" s="1"/>
  <c r="AK86" i="5"/>
  <c r="AL86" i="5" s="1"/>
  <c r="AK166" i="5"/>
  <c r="AL166" i="5" s="1"/>
  <c r="AK176" i="5"/>
  <c r="AL176" i="5" s="1"/>
  <c r="AM2" i="5" l="1"/>
</calcChain>
</file>

<file path=xl/sharedStrings.xml><?xml version="1.0" encoding="utf-8"?>
<sst xmlns="http://schemas.openxmlformats.org/spreadsheetml/2006/main" count="301" uniqueCount="95">
  <si>
    <t>Observations</t>
  </si>
  <si>
    <t>Meal type</t>
  </si>
  <si>
    <t>Number of meals per day</t>
  </si>
  <si>
    <t>Number of days</t>
  </si>
  <si>
    <t>Price per meal</t>
  </si>
  <si>
    <t>Profile 1</t>
  </si>
  <si>
    <t>Plant Based</t>
  </si>
  <si>
    <t>Profile 2</t>
  </si>
  <si>
    <t>Meat And Veggies</t>
  </si>
  <si>
    <t>Profile 3</t>
  </si>
  <si>
    <t>Profile 4</t>
  </si>
  <si>
    <t>Cooked under 20 minutes</t>
  </si>
  <si>
    <t>Profile 5</t>
  </si>
  <si>
    <t>Profile 6</t>
  </si>
  <si>
    <t>Profile 7</t>
  </si>
  <si>
    <t>Fit and Wholesome</t>
  </si>
  <si>
    <t>Profile 8</t>
  </si>
  <si>
    <t>Profile 9</t>
  </si>
  <si>
    <t>Profile 10</t>
  </si>
  <si>
    <t>Profile 11</t>
  </si>
  <si>
    <t>Profile 12</t>
  </si>
  <si>
    <t>Task</t>
  </si>
  <si>
    <t>Respondent</t>
  </si>
  <si>
    <t>Alt 1</t>
  </si>
  <si>
    <t>Alt 2</t>
  </si>
  <si>
    <t>Alt 3</t>
  </si>
  <si>
    <t>None</t>
  </si>
  <si>
    <t>Meat and Veggies</t>
  </si>
  <si>
    <t>Profiles</t>
  </si>
  <si>
    <t>Alt1</t>
  </si>
  <si>
    <t>Alt2</t>
  </si>
  <si>
    <t>Alt3</t>
  </si>
  <si>
    <t>Util. Alt 1</t>
  </si>
  <si>
    <t>Util. Alt 2</t>
  </si>
  <si>
    <t>Util. Alt 3</t>
  </si>
  <si>
    <t>Util. None</t>
  </si>
  <si>
    <t>EU_Alt 1</t>
  </si>
  <si>
    <t>EU_Alt 2</t>
  </si>
  <si>
    <t>EU_Alt 3</t>
  </si>
  <si>
    <t>EU_None</t>
  </si>
  <si>
    <t>Pr_1</t>
  </si>
  <si>
    <t>Pr_2</t>
  </si>
  <si>
    <t>Pr_3</t>
  </si>
  <si>
    <t>Pr_4</t>
  </si>
  <si>
    <t>Likelihood</t>
  </si>
  <si>
    <t>Log Likelihood</t>
  </si>
  <si>
    <t>Total LL</t>
  </si>
  <si>
    <t>Max Util</t>
  </si>
  <si>
    <t>Min Util</t>
  </si>
  <si>
    <t>Range</t>
  </si>
  <si>
    <t>% Imp</t>
  </si>
  <si>
    <t>Intercepts</t>
  </si>
  <si>
    <t>3 meals per day</t>
  </si>
  <si>
    <t>3 days</t>
  </si>
  <si>
    <t xml:space="preserve">$5 per meal </t>
  </si>
  <si>
    <t>Short name</t>
  </si>
  <si>
    <t>Nbr. of categories</t>
  </si>
  <si>
    <t>Category 1</t>
  </si>
  <si>
    <t>Category 2</t>
  </si>
  <si>
    <t>Factors/Categories table: Workbook = Demand Project_V2.xlsm / Sheet = Market Simulation / Range = 'Market Simulation'!$B$3:$E$5 / 2 rows and 4 columns</t>
  </si>
  <si>
    <t>Number of respondents: 10</t>
  </si>
  <si>
    <t>Initial partition: 123456789</t>
  </si>
  <si>
    <t>Variable informations:</t>
  </si>
  <si>
    <t>1</t>
  </si>
  <si>
    <t>7</t>
  </si>
  <si>
    <t>3.5</t>
  </si>
  <si>
    <t>2</t>
  </si>
  <si>
    <t>14</t>
  </si>
  <si>
    <t>4</t>
  </si>
  <si>
    <t>Designs for conjoint analysis Optimized:</t>
  </si>
  <si>
    <t/>
  </si>
  <si>
    <t>Individual 1</t>
  </si>
  <si>
    <t>Individual 2</t>
  </si>
  <si>
    <t>Individual 3</t>
  </si>
  <si>
    <t>Individual 4</t>
  </si>
  <si>
    <t>Individual 5</t>
  </si>
  <si>
    <t>Individual 6</t>
  </si>
  <si>
    <t>Individual 7</t>
  </si>
  <si>
    <t>Individual 8</t>
  </si>
  <si>
    <t>Individual 9</t>
  </si>
  <si>
    <t>Individual 10</t>
  </si>
  <si>
    <t>Once you filled in the conjoint design with individuals responses, you can click on the button above to automatically launch the interface and run a conjoint analysis.</t>
  </si>
  <si>
    <t>Optimization summary:</t>
  </si>
  <si>
    <t>Iteration</t>
  </si>
  <si>
    <t>Determinant</t>
  </si>
  <si>
    <t>D-Efficiency</t>
  </si>
  <si>
    <t>Maximum number of profiles: 5</t>
  </si>
  <si>
    <r>
      <t>XLSTAT 2023.2.0.1411 - Designs for conjoint analysis - Start time: 04/14/2024 at 14:52:41 / End time: 04/14/2024 at 14:52:43</t>
    </r>
    <r>
      <rPr>
        <sz val="11"/>
        <color rgb="FFFFFFFF"/>
        <rFont val="Aptos Narrow"/>
        <family val="2"/>
        <scheme val="minor"/>
      </rPr>
      <t xml:space="preserve"> / Microsoft Excel 16.017425</t>
    </r>
  </si>
  <si>
    <t xml:space="preserve">Product </t>
  </si>
  <si>
    <t>-</t>
  </si>
  <si>
    <t>Betas</t>
  </si>
  <si>
    <t>Product/Features</t>
  </si>
  <si>
    <t>Utilities</t>
  </si>
  <si>
    <t>Exp Utilities</t>
  </si>
  <si>
    <t>Market Share 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</si>
</sst>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6" formatCode="&quot;$&quot;#,##0_);[Red]\(&quot;$&quot;#,##0\)"/>
    <numFmt numFmtId="8" formatCode="&quot;$&quot;#,##0.00_);[Red]\(&quot;$&quot;#,##0.00\)"/>
    <numFmt numFmtId="168" formatCode="0.000"/>
  </numFmts>
  <fonts count="6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sz val="11"/>
      <color rgb="FFFFFFFF"/>
      <name val="Aptos Narrow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9">
    <border>
      <left/>
      <right/>
      <top/>
      <bottom/>
      <diagonal/>
    </border>
    <border>
      <left/>
      <right/>
      <top/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61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1" xfId="0" applyBorder="1" applyAlignment="1">
      <alignment horizontal="left"/>
    </xf>
    <xf numFmtId="0" fontId="0" fillId="0" borderId="2" xfId="0" applyBorder="1"/>
    <xf numFmtId="0" fontId="0" fillId="0" borderId="2" xfId="0" applyBorder="1" applyAlignment="1">
      <alignment horizontal="left"/>
    </xf>
    <xf numFmtId="0" fontId="0" fillId="0" borderId="2" xfId="0" applyBorder="1" applyAlignment="1">
      <alignment horizontal="center"/>
    </xf>
    <xf numFmtId="49" fontId="0" fillId="0" borderId="2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/>
    </xf>
    <xf numFmtId="0" fontId="0" fillId="2" borderId="4" xfId="0" applyFill="1" applyBorder="1" applyAlignment="1">
      <alignment horizontal="left"/>
    </xf>
    <xf numFmtId="0" fontId="0" fillId="2" borderId="4" xfId="0" applyFill="1" applyBorder="1" applyAlignment="1">
      <alignment horizontal="center"/>
    </xf>
    <xf numFmtId="0" fontId="0" fillId="2" borderId="4" xfId="0" applyFill="1" applyBorder="1"/>
    <xf numFmtId="8" fontId="0" fillId="2" borderId="4" xfId="0" applyNumberFormat="1" applyFill="1" applyBorder="1" applyAlignment="1">
      <alignment horizontal="center"/>
    </xf>
    <xf numFmtId="6" fontId="0" fillId="2" borderId="4" xfId="0" applyNumberFormat="1" applyFill="1" applyBorder="1" applyAlignment="1">
      <alignment horizontal="center"/>
    </xf>
    <xf numFmtId="0" fontId="0" fillId="3" borderId="4" xfId="0" applyFill="1" applyBorder="1" applyAlignment="1">
      <alignment horizontal="left"/>
    </xf>
    <xf numFmtId="0" fontId="0" fillId="3" borderId="4" xfId="0" applyFill="1" applyBorder="1" applyAlignment="1">
      <alignment horizontal="center"/>
    </xf>
    <xf numFmtId="0" fontId="0" fillId="3" borderId="4" xfId="0" applyFill="1" applyBorder="1"/>
    <xf numFmtId="8" fontId="0" fillId="3" borderId="4" xfId="0" applyNumberFormat="1" applyFill="1" applyBorder="1" applyAlignment="1">
      <alignment horizontal="center"/>
    </xf>
    <xf numFmtId="6" fontId="0" fillId="3" borderId="4" xfId="0" applyNumberFormat="1" applyFill="1" applyBorder="1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right" wrapText="1"/>
    </xf>
    <xf numFmtId="0" fontId="0" fillId="0" borderId="0" xfId="0" applyAlignment="1">
      <alignment wrapText="1"/>
    </xf>
    <xf numFmtId="0" fontId="0" fillId="0" borderId="4" xfId="0" applyBorder="1"/>
    <xf numFmtId="0" fontId="0" fillId="3" borderId="4" xfId="0" applyFill="1" applyBorder="1" applyAlignment="1">
      <alignment horizontal="right"/>
    </xf>
    <xf numFmtId="9" fontId="0" fillId="0" borderId="4" xfId="1" applyFont="1" applyBorder="1"/>
    <xf numFmtId="0" fontId="0" fillId="0" borderId="6" xfId="0" applyBorder="1" applyAlignment="1">
      <alignment horizontal="center"/>
    </xf>
    <xf numFmtId="0" fontId="1" fillId="4" borderId="4" xfId="0" applyFont="1" applyFill="1" applyBorder="1"/>
    <xf numFmtId="0" fontId="0" fillId="0" borderId="5" xfId="0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0" borderId="4" xfId="0" applyBorder="1" applyAlignment="1">
      <alignment horizontal="center"/>
    </xf>
    <xf numFmtId="0" fontId="1" fillId="0" borderId="0" xfId="0" applyFont="1"/>
    <xf numFmtId="49" fontId="0" fillId="0" borderId="7" xfId="0" applyNumberFormat="1" applyFont="1" applyBorder="1" applyAlignment="1">
      <alignment horizontal="center" vertical="center" wrapText="1"/>
    </xf>
    <xf numFmtId="1" fontId="0" fillId="0" borderId="8" xfId="0" applyNumberFormat="1" applyBorder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6" xfId="0" applyNumberFormat="1" applyBorder="1" applyAlignment="1">
      <alignment horizontal="center"/>
    </xf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 wrapText="1"/>
    </xf>
    <xf numFmtId="49" fontId="0" fillId="0" borderId="0" xfId="0" applyNumberFormat="1" applyAlignment="1"/>
    <xf numFmtId="0" fontId="0" fillId="0" borderId="7" xfId="0" applyFont="1" applyBorder="1" applyAlignment="1">
      <alignment horizontal="center" vertical="center" wrapText="1"/>
    </xf>
    <xf numFmtId="49" fontId="0" fillId="0" borderId="8" xfId="0" applyNumberFormat="1" applyBorder="1" applyAlignment="1"/>
    <xf numFmtId="49" fontId="0" fillId="0" borderId="6" xfId="0" applyNumberFormat="1" applyBorder="1" applyAlignment="1"/>
    <xf numFmtId="49" fontId="0" fillId="0" borderId="8" xfId="0" applyNumberFormat="1" applyBorder="1" applyAlignment="1">
      <alignment horizontal="center"/>
    </xf>
    <xf numFmtId="49" fontId="0" fillId="0" borderId="6" xfId="0" applyNumberFormat="1" applyBorder="1" applyAlignment="1">
      <alignment horizontal="center"/>
    </xf>
    <xf numFmtId="0" fontId="3" fillId="0" borderId="0" xfId="0" applyFont="1"/>
    <xf numFmtId="168" fontId="0" fillId="0" borderId="0" xfId="0" applyNumberFormat="1" applyAlignment="1">
      <alignment horizontal="center"/>
    </xf>
    <xf numFmtId="168" fontId="0" fillId="0" borderId="6" xfId="0" applyNumberFormat="1" applyBorder="1" applyAlignment="1">
      <alignment horizontal="center"/>
    </xf>
    <xf numFmtId="0" fontId="4" fillId="0" borderId="0" xfId="0" applyFont="1"/>
    <xf numFmtId="1" fontId="1" fillId="0" borderId="8" xfId="0" applyNumberFormat="1" applyFont="1" applyBorder="1" applyAlignment="1">
      <alignment horizontal="center"/>
    </xf>
    <xf numFmtId="168" fontId="1" fillId="0" borderId="8" xfId="0" applyNumberFormat="1" applyFont="1" applyBorder="1" applyAlignment="1">
      <alignment horizontal="center"/>
    </xf>
    <xf numFmtId="49" fontId="0" fillId="0" borderId="4" xfId="0" applyNumberFormat="1" applyBorder="1" applyAlignment="1">
      <alignment horizontal="center"/>
    </xf>
    <xf numFmtId="0" fontId="1" fillId="0" borderId="4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/>
    </xf>
    <xf numFmtId="0" fontId="1" fillId="0" borderId="4" xfId="0" applyFont="1" applyBorder="1" applyAlignment="1">
      <alignment horizontal="center"/>
    </xf>
    <xf numFmtId="49" fontId="1" fillId="0" borderId="4" xfId="0" applyNumberFormat="1" applyFont="1" applyFill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vertical="center" wrapText="1"/>
    </xf>
    <xf numFmtId="9" fontId="0" fillId="0" borderId="4" xfId="1" applyFont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17/10/relationships/person" Target="persons/perso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Feature</a:t>
            </a:r>
            <a:r>
              <a:rPr lang="en-US" b="1" baseline="0"/>
              <a:t> Importance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Importance!$E$4:$E$7</c:f>
              <c:strCache>
                <c:ptCount val="4"/>
                <c:pt idx="0">
                  <c:v>Meal type</c:v>
                </c:pt>
                <c:pt idx="1">
                  <c:v>Number of meals per day</c:v>
                </c:pt>
                <c:pt idx="2">
                  <c:v>Number of days</c:v>
                </c:pt>
                <c:pt idx="3">
                  <c:v>Price per meal</c:v>
                </c:pt>
              </c:strCache>
            </c:strRef>
          </c:cat>
          <c:val>
            <c:numRef>
              <c:f>Importance!$I$4:$I$7</c:f>
              <c:numCache>
                <c:formatCode>0%</c:formatCode>
                <c:ptCount val="4"/>
                <c:pt idx="0">
                  <c:v>0.44448007143217838</c:v>
                </c:pt>
                <c:pt idx="1">
                  <c:v>0.15016637861454457</c:v>
                </c:pt>
                <c:pt idx="2">
                  <c:v>0.13750969563586624</c:v>
                </c:pt>
                <c:pt idx="3">
                  <c:v>0.26784385431741081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7E-45B3-8D30-CEEC9C5AAD6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410832735"/>
        <c:axId val="1410828415"/>
      </c:barChart>
      <c:catAx>
        <c:axId val="141083273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10828415"/>
        <c:crosses val="autoZero"/>
        <c:auto val="1"/>
        <c:lblAlgn val="ctr"/>
        <c:lblOffset val="100"/>
        <c:noMultiLvlLbl val="0"/>
      </c:catAx>
      <c:valAx>
        <c:axId val="1410828415"/>
        <c:scaling>
          <c:orientation val="minMax"/>
        </c:scaling>
        <c:delete val="1"/>
        <c:axPos val="l"/>
        <c:numFmt formatCode="0%" sourceLinked="1"/>
        <c:majorTickMark val="none"/>
        <c:minorTickMark val="none"/>
        <c:tickLblPos val="nextTo"/>
        <c:crossAx val="14108327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Style="combo" dx="26" noThreeD="1" sel="1" val="0">
  <itemLst>
    <item val="Variable informations"/>
    <item val="Designs for conjoint analysis Optimized"/>
    <item val="Optimization summary"/>
  </itemLst>
</formControlPr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571500</xdr:colOff>
      <xdr:row>2</xdr:row>
      <xdr:rowOff>118110</xdr:rowOff>
    </xdr:from>
    <xdr:to>
      <xdr:col>18</xdr:col>
      <xdr:colOff>266700</xdr:colOff>
      <xdr:row>17</xdr:row>
      <xdr:rowOff>118110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754F88EC-74FF-8BE1-C95C-27C59FD2F6E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12700</xdr:colOff>
      <xdr:row>5</xdr:row>
      <xdr:rowOff>0</xdr:rowOff>
    </xdr:from>
    <xdr:to>
      <xdr:col>2</xdr:col>
      <xdr:colOff>38100</xdr:colOff>
      <xdr:row>5</xdr:row>
      <xdr:rowOff>25400</xdr:rowOff>
    </xdr:to>
    <xdr:sp macro="" textlink="">
      <xdr:nvSpPr>
        <xdr:cNvPr id="2" name="TX380033" hidden="1">
          <a:extLst>
            <a:ext uri="{FF2B5EF4-FFF2-40B4-BE49-F238E27FC236}">
              <a16:creationId xmlns:a16="http://schemas.microsoft.com/office/drawing/2014/main" id="{7CF697FB-2C4D-B379-FF74-37BA9E127369}"/>
            </a:ext>
          </a:extLst>
        </xdr:cNvPr>
        <xdr:cNvSpPr txBox="1"/>
      </xdr:nvSpPr>
      <xdr:spPr>
        <a:xfrm>
          <a:off x="949960" y="9144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RunProcCJ1
Form145.txt
TextBoxList,TextBox,,False,03,False,,False,,,
CheckBoxTrans,CheckBox,0,False,04,False,Trans,False,,,
TextBoxNbCombPP,TextBox,3,False,000000001200_General,False,Number of profile per comparison:,False,,,
TextBoxNbComp,TextBox,10,False,000000001000_General,False,Maximum number of comparisons:,False,,,
TextBoxNbrRes,TextBox,10,True,000000000800_General,True,Number of respondents:,False,,,
TextBoxNMax,TextBox,5,True,000000000600_General,True,Maximum number of profiles:,False,,,
RefEditFactors,RefEdit0,'Sheet6'!$B$3:$E$5,True,000000000400_General,True,,False,,3,4
OptionButton_R,OptionButton,0,True,000000000001_General,True,Range,False,,,
OptionButton_S,OptionButton,-1,True,000000020001_General,True,Sheet,False,,,
OptionButton_W,OptionButton,0,True,000000030001_General,True,Workbook,False,,,
RefEdit_R,RefEdit,,True,000000010001_General,True,Range:,False,,,
CheckBoxVarLabels,CheckBox,-1,True,000000000101_General,True,Variable labels,False,,,
CheckBoxExpSheet,CheckBox,0,True,200000000300_Outputs,True,Print individual sheets,False,,,
ComboBoxAssign,ComboBox,0,True,200000020300_Outputs,True,Select the assignement method of the choices to be used,False,,,
CheckBoxRef,CheckBox,0,True,200000030300_Outputs,True,Include references,False,,,
CheckBoxOpt,CheckBox,-1,True,200000000000_Outputs,True,Optimization summary,False,,,
TextBoxRepetitions,TextBox,10,True,100000000301_Options,True,Repetitions:,False,,,
CheckBox_Constraint,CheckBox,0,True,100000000000_Options,True,Prohibited combinations,False,,,
CheckBoxZero,CheckBox,0,False,200000040300_Outputs,False,Include the no option,False,,,
TextBoxMaxIter,TextBox,200,True,100000010401_Options,True,Iterations:,False,,,
TextBoxConv,TextBox,0.0001,True,100001020401_Options,True,Convergence:,False,,,
RefEditNbRespByDesign,RefEdit,,True,100000000400_Options,True,Respondents per design:,False,,,
TextBoxNbDesign,TextBox,9,True,100000000200_Options,True,Number of designs:,False,,,
CheckBoxNbDesign,CheckBox,0,True,100000000100_Options,True,Number of designs,False,,,
RefEditNbCompByDesign,RefEdit,,False,100000000600_Options,False,Comparisons by design:,False,,,
ScrollBarSelect,ScrollBar,0,False,05,False,,,,,
CheckBoxCodedPlan,CheckBox,0,True,200000000200_Outputs,True,Encoded design,False,,,
CheckBox_Burt,CheckBox,0,True,200000000100_Outputs,True,Burt table,False,,,
OptionButtonDOptimal,OptionButton,-1,True,100000000101_Options,True,D-Optimal design,False,,,
OptionButtonOrtho,OptionButton,0,True,100000010101_Options,True,Orthogonal design,False,,,
TextBox1,TextBox,10,True,100000030401_Options,True,Number of repetitions:,False,,,
FileSelect1,CommandButton,,False,000000000200_General,False,,False,,,
</a:t>
          </a:r>
        </a:p>
      </xdr:txBody>
    </xdr:sp>
    <xdr:clientData/>
  </xdr:twoCellAnchor>
  <xdr:twoCellAnchor editAs="oneCell">
    <xdr:from>
      <xdr:col>0</xdr:col>
      <xdr:colOff>314960</xdr:colOff>
      <xdr:row>5</xdr:row>
      <xdr:rowOff>0</xdr:rowOff>
    </xdr:from>
    <xdr:to>
      <xdr:col>1</xdr:col>
      <xdr:colOff>12700</xdr:colOff>
      <xdr:row>5</xdr:row>
      <xdr:rowOff>25400</xdr:rowOff>
    </xdr:to>
    <xdr:sp macro="" textlink="">
      <xdr:nvSpPr>
        <xdr:cNvPr id="3" name="RAND_ID" hidden="1">
          <a:extLst>
            <a:ext uri="{FF2B5EF4-FFF2-40B4-BE49-F238E27FC236}">
              <a16:creationId xmlns:a16="http://schemas.microsoft.com/office/drawing/2014/main" id="{CF1093D3-10F8-2778-CA09-2D88F58F14C6}"/>
            </a:ext>
          </a:extLst>
        </xdr:cNvPr>
        <xdr:cNvSpPr txBox="1"/>
      </xdr:nvSpPr>
      <xdr:spPr>
        <a:xfrm>
          <a:off x="314960" y="91440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380033</a:t>
          </a:r>
        </a:p>
      </xdr:txBody>
    </xdr:sp>
    <xdr:clientData/>
  </xdr:twoCellAnchor>
  <xdr:twoCellAnchor editAs="absolute">
    <xdr:from>
      <xdr:col>1</xdr:col>
      <xdr:colOff>6350</xdr:colOff>
      <xdr:row>5</xdr:row>
      <xdr:rowOff>6350</xdr:rowOff>
    </xdr:from>
    <xdr:to>
      <xdr:col>4</xdr:col>
      <xdr:colOff>6350</xdr:colOff>
      <xdr:row>5</xdr:row>
      <xdr:rowOff>470535</xdr:rowOff>
    </xdr:to>
    <xdr:sp macro="" textlink="">
      <xdr:nvSpPr>
        <xdr:cNvPr id="4" name="BK380033">
          <a:extLst>
            <a:ext uri="{FF2B5EF4-FFF2-40B4-BE49-F238E27FC236}">
              <a16:creationId xmlns:a16="http://schemas.microsoft.com/office/drawing/2014/main" id="{CB4BC392-FFF3-1569-505E-77631D7D3E05}"/>
            </a:ext>
          </a:extLst>
        </xdr:cNvPr>
        <xdr:cNvSpPr/>
      </xdr:nvSpPr>
      <xdr:spPr>
        <a:xfrm>
          <a:off x="334010" y="920750"/>
          <a:ext cx="1828800" cy="464185"/>
        </a:xfrm>
        <a:prstGeom prst="roundRect">
          <a:avLst/>
        </a:prstGeom>
        <a:solidFill>
          <a:srgbClr val="F5F5F5"/>
        </a:solidFill>
        <a:ln w="12700">
          <a:solidFill>
            <a:srgbClr val="C9521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1</xdr:col>
      <xdr:colOff>66040</xdr:colOff>
      <xdr:row>5</xdr:row>
      <xdr:rowOff>53975</xdr:rowOff>
    </xdr:from>
    <xdr:to>
      <xdr:col>1</xdr:col>
      <xdr:colOff>427990</xdr:colOff>
      <xdr:row>5</xdr:row>
      <xdr:rowOff>415925</xdr:rowOff>
    </xdr:to>
    <xdr:pic macro="[0]!ReRunXLSTAT">
      <xdr:nvPicPr>
        <xdr:cNvPr id="5" name="BT380033">
          <a:extLst>
            <a:ext uri="{FF2B5EF4-FFF2-40B4-BE49-F238E27FC236}">
              <a16:creationId xmlns:a16="http://schemas.microsoft.com/office/drawing/2014/main" id="{18BAE9DE-56E0-FB70-F925-F0C90449D3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93700" y="9683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515620</xdr:colOff>
      <xdr:row>5</xdr:row>
      <xdr:rowOff>53975</xdr:rowOff>
    </xdr:from>
    <xdr:to>
      <xdr:col>2</xdr:col>
      <xdr:colOff>267970</xdr:colOff>
      <xdr:row>5</xdr:row>
      <xdr:rowOff>415925</xdr:rowOff>
    </xdr:to>
    <xdr:pic macro="[0]!AddRemovGrid">
      <xdr:nvPicPr>
        <xdr:cNvPr id="6" name="RM380033">
          <a:extLst>
            <a:ext uri="{FF2B5EF4-FFF2-40B4-BE49-F238E27FC236}">
              <a16:creationId xmlns:a16="http://schemas.microsoft.com/office/drawing/2014/main" id="{B11FDD13-9C91-B3FE-B089-497610E3D4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43280" y="9683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1</xdr:col>
      <xdr:colOff>515620</xdr:colOff>
      <xdr:row>5</xdr:row>
      <xdr:rowOff>53975</xdr:rowOff>
    </xdr:from>
    <xdr:to>
      <xdr:col>2</xdr:col>
      <xdr:colOff>267970</xdr:colOff>
      <xdr:row>5</xdr:row>
      <xdr:rowOff>415925</xdr:rowOff>
    </xdr:to>
    <xdr:pic macro="[0]!AddRemovGrid">
      <xdr:nvPicPr>
        <xdr:cNvPr id="7" name="AD380033" hidden="1">
          <a:extLst>
            <a:ext uri="{FF2B5EF4-FFF2-40B4-BE49-F238E27FC236}">
              <a16:creationId xmlns:a16="http://schemas.microsoft.com/office/drawing/2014/main" id="{C73EE71D-023F-60A0-8362-D8982E48E6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43280" y="9683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2</xdr:col>
      <xdr:colOff>355600</xdr:colOff>
      <xdr:row>5</xdr:row>
      <xdr:rowOff>53975</xdr:rowOff>
    </xdr:from>
    <xdr:to>
      <xdr:col>3</xdr:col>
      <xdr:colOff>107950</xdr:colOff>
      <xdr:row>5</xdr:row>
      <xdr:rowOff>415925</xdr:rowOff>
    </xdr:to>
    <xdr:pic macro="[0]!SendToOfficeLocal">
      <xdr:nvPicPr>
        <xdr:cNvPr id="8" name="WD380033">
          <a:extLst>
            <a:ext uri="{FF2B5EF4-FFF2-40B4-BE49-F238E27FC236}">
              <a16:creationId xmlns:a16="http://schemas.microsoft.com/office/drawing/2014/main" id="{EC62B3B0-3329-26C5-3595-D5A4B99850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92860" y="968375"/>
          <a:ext cx="361950" cy="361950"/>
        </a:xfrm>
        <a:prstGeom prst="rect">
          <a:avLst/>
        </a:prstGeom>
      </xdr:spPr>
    </xdr:pic>
    <xdr:clientData/>
  </xdr:twoCellAnchor>
  <xdr:twoCellAnchor editAs="absolute">
    <xdr:from>
      <xdr:col>3</xdr:col>
      <xdr:colOff>195580</xdr:colOff>
      <xdr:row>5</xdr:row>
      <xdr:rowOff>53975</xdr:rowOff>
    </xdr:from>
    <xdr:to>
      <xdr:col>3</xdr:col>
      <xdr:colOff>557530</xdr:colOff>
      <xdr:row>5</xdr:row>
      <xdr:rowOff>415925</xdr:rowOff>
    </xdr:to>
    <xdr:pic macro="[0]!SendToOfficeLocal">
      <xdr:nvPicPr>
        <xdr:cNvPr id="9" name="PT380033">
          <a:extLst>
            <a:ext uri="{FF2B5EF4-FFF2-40B4-BE49-F238E27FC236}">
              <a16:creationId xmlns:a16="http://schemas.microsoft.com/office/drawing/2014/main" id="{87B16B52-D360-4AC5-ED00-9E3A6446A5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742440" y="968375"/>
          <a:ext cx="361950" cy="361950"/>
        </a:xfrm>
        <a:prstGeom prst="rect">
          <a:avLst/>
        </a:prstGeom>
      </xdr:spPr>
    </xdr:pic>
    <xdr:clientData/>
  </xdr:twoCellAnchor>
  <xdr:twoCellAnchor>
    <xdr:from>
      <xdr:col>1</xdr:col>
      <xdr:colOff>12700</xdr:colOff>
      <xdr:row>28</xdr:row>
      <xdr:rowOff>0</xdr:rowOff>
    </xdr:from>
    <xdr:to>
      <xdr:col>1</xdr:col>
      <xdr:colOff>38100</xdr:colOff>
      <xdr:row>28</xdr:row>
      <xdr:rowOff>25400</xdr:rowOff>
    </xdr:to>
    <xdr:sp macro="" textlink="">
      <xdr:nvSpPr>
        <xdr:cNvPr id="10" name="TX830532" hidden="1">
          <a:extLst>
            <a:ext uri="{FF2B5EF4-FFF2-40B4-BE49-F238E27FC236}">
              <a16:creationId xmlns:a16="http://schemas.microsoft.com/office/drawing/2014/main" id="{8229CE68-7BBC-F4AE-9185-44D65638DC7E}"/>
            </a:ext>
          </a:extLst>
        </xdr:cNvPr>
        <xdr:cNvSpPr txBox="1"/>
      </xdr:nvSpPr>
      <xdr:spPr>
        <a:xfrm>
          <a:off x="340360" y="617982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RunProcCJ3
Form147.txt
RefEdit_Y,RefEdit0,'XLSTAT_20240414_145237_1'!$G$21:$P$26,,,,,,
RefEdit_DOE,RefEdit0,'XLSTAT_20240414_145237_1'!$C$21:$F$26,,,,,,
RefEdit_Choice,RefEdit0,,,,,,,
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27</xdr:row>
          <xdr:rowOff>0</xdr:rowOff>
        </xdr:from>
        <xdr:to>
          <xdr:col>3</xdr:col>
          <xdr:colOff>0</xdr:colOff>
          <xdr:row>29</xdr:row>
          <xdr:rowOff>0</xdr:rowOff>
        </xdr:to>
        <xdr:sp macro="" textlink="">
          <xdr:nvSpPr>
            <xdr:cNvPr id="8193" name="BT830532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F505EFB3-DCEB-8C2D-DB6A-CC32D22FB2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ptos Narrow"/>
                </a:rPr>
                <a:t>Run the analysis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0</xdr:colOff>
      <xdr:row>0</xdr:row>
      <xdr:rowOff>0</xdr:rowOff>
    </xdr:from>
    <xdr:to>
      <xdr:col>2</xdr:col>
      <xdr:colOff>0</xdr:colOff>
      <xdr:row>1</xdr:row>
      <xdr:rowOff>71120</xdr:rowOff>
    </xdr:to>
    <xdr:sp macro="" textlink="">
      <xdr:nvSpPr>
        <xdr:cNvPr id="11" name="TB_Load_CJT" hidden="1">
          <a:extLst>
            <a:ext uri="{FF2B5EF4-FFF2-40B4-BE49-F238E27FC236}">
              <a16:creationId xmlns:a16="http://schemas.microsoft.com/office/drawing/2014/main" id="{EE3DB92E-DA84-F10A-08D6-10BEE66D42C2}"/>
            </a:ext>
          </a:extLst>
        </xdr:cNvPr>
        <xdr:cNvSpPr txBox="1"/>
      </xdr:nvSpPr>
      <xdr:spPr>
        <a:xfrm>
          <a:off x="327660" y="0"/>
          <a:ext cx="609600" cy="254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600"/>
            <a:t>CJT / 'XLSTAT_20240414_145237_1'!$C$21:$F$26 / 'XLSTAT_20240414_145237_1'!$G$21:$P$26 / </a:t>
          </a:r>
        </a:p>
      </xdr:txBody>
    </xdr:sp>
    <xdr:clientData/>
  </xdr:twoCellAnchor>
  <xdr:twoCellAnchor>
    <xdr:from>
      <xdr:col>1</xdr:col>
      <xdr:colOff>0</xdr:colOff>
      <xdr:row>0</xdr:row>
      <xdr:rowOff>0</xdr:rowOff>
    </xdr:from>
    <xdr:to>
      <xdr:col>2</xdr:col>
      <xdr:colOff>0</xdr:colOff>
      <xdr:row>1</xdr:row>
      <xdr:rowOff>71120</xdr:rowOff>
    </xdr:to>
    <xdr:sp macro="" textlink="">
      <xdr:nvSpPr>
        <xdr:cNvPr id="12" name="Info_CJT" hidden="1">
          <a:extLst>
            <a:ext uri="{FF2B5EF4-FFF2-40B4-BE49-F238E27FC236}">
              <a16:creationId xmlns:a16="http://schemas.microsoft.com/office/drawing/2014/main" id="{6F90D303-3B73-4E39-9C9B-DFD39CE8BED5}"/>
            </a:ext>
          </a:extLst>
        </xdr:cNvPr>
        <xdr:cNvSpPr txBox="1"/>
      </xdr:nvSpPr>
      <xdr:spPr>
        <a:xfrm>
          <a:off x="327660" y="0"/>
          <a:ext cx="609600" cy="2540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600"/>
            <a:t>1 / 8 / 10</a:t>
          </a:r>
        </a:p>
      </xdr:txBody>
    </xdr:sp>
    <xdr:clientData/>
  </xdr:twoCellAnchor>
  <xdr:twoCellAnchor editAs="oneCell">
    <xdr:from>
      <xdr:col>0</xdr:col>
      <xdr:colOff>314960</xdr:colOff>
      <xdr:row>0</xdr:row>
      <xdr:rowOff>0</xdr:rowOff>
    </xdr:from>
    <xdr:to>
      <xdr:col>1</xdr:col>
      <xdr:colOff>12700</xdr:colOff>
      <xdr:row>0</xdr:row>
      <xdr:rowOff>25400</xdr:rowOff>
    </xdr:to>
    <xdr:sp macro="" textlink="">
      <xdr:nvSpPr>
        <xdr:cNvPr id="13" name="XP380033" hidden="1">
          <a:extLst>
            <a:ext uri="{FF2B5EF4-FFF2-40B4-BE49-F238E27FC236}">
              <a16:creationId xmlns:a16="http://schemas.microsoft.com/office/drawing/2014/main" id="{3B58E385-38DB-1147-3D49-B82E34A5E4C1}"/>
            </a:ext>
          </a:extLst>
        </xdr:cNvPr>
        <xdr:cNvSpPr txBox="1"/>
      </xdr:nvSpPr>
      <xdr:spPr>
        <a:xfrm>
          <a:off x="314960" y="0"/>
          <a:ext cx="25400" cy="25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en-US" sz="1100"/>
            <a:t>CJT design1*SEP*Variable informations*SEP*$B$10
CJT design1*SEP*Designs for conjoint analysis Optimized*SEP*$B$19
CJT design1*SEP*Optimization summary*SEP*$B$33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6</xdr:row>
          <xdr:rowOff>0</xdr:rowOff>
        </xdr:from>
        <xdr:to>
          <xdr:col>5</xdr:col>
          <xdr:colOff>0</xdr:colOff>
          <xdr:row>7</xdr:row>
          <xdr:rowOff>0</xdr:rowOff>
        </xdr:to>
        <xdr:sp macro="" textlink="">
          <xdr:nvSpPr>
            <xdr:cNvPr id="8194" name="DD675364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B2496288-A1B3-CA36-B35F-A7C6E02722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prstDash val="solid"/>
              <a:miter lim="800000"/>
              <a:headEnd/>
              <a:tailEnd type="none" w="med" len="med"/>
            </a:ln>
            <a:effectLst/>
            <a:extLst>
              <a:ext uri="{909E8E84-426E-40DD-AFC4-6F175D3DCCD1}">
                <a14:hiddenFill>
                  <a:noFill/>
                </a14:hiddenFill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EBDE58-005D-4C14-93E3-D4780C3FB15E}">
  <sheetPr codeName="Sheet1"/>
  <dimension ref="A1:N29"/>
  <sheetViews>
    <sheetView workbookViewId="0">
      <selection activeCell="B3" sqref="B3:B14"/>
    </sheetView>
  </sheetViews>
  <sheetFormatPr defaultRowHeight="14.4" x14ac:dyDescent="0.3"/>
  <cols>
    <col min="1" max="1" width="11.5546875" bestFit="1" customWidth="1"/>
    <col min="2" max="2" width="21.5546875" style="2" bestFit="1" customWidth="1"/>
    <col min="3" max="3" width="21" style="1" bestFit="1" customWidth="1"/>
    <col min="4" max="4" width="15" style="1" bestFit="1" customWidth="1"/>
    <col min="5" max="5" width="16.33203125" style="1" bestFit="1" customWidth="1"/>
    <col min="14" max="14" width="22.21875" customWidth="1"/>
  </cols>
  <sheetData>
    <row r="1" spans="1:14" ht="15" thickBot="1" x14ac:dyDescent="0.35">
      <c r="A1" s="4"/>
      <c r="B1" s="5"/>
      <c r="C1" s="3"/>
      <c r="D1" s="3"/>
      <c r="E1" s="3"/>
    </row>
    <row r="2" spans="1:14" ht="15.6" thickTop="1" thickBot="1" x14ac:dyDescent="0.35">
      <c r="A2" s="6" t="s">
        <v>0</v>
      </c>
      <c r="B2" s="7" t="s">
        <v>1</v>
      </c>
      <c r="C2" s="8" t="s">
        <v>2</v>
      </c>
      <c r="D2" s="8" t="s">
        <v>3</v>
      </c>
      <c r="E2" s="8" t="s">
        <v>4</v>
      </c>
      <c r="G2" s="8" t="s">
        <v>21</v>
      </c>
      <c r="H2" s="9" t="s">
        <v>29</v>
      </c>
      <c r="I2" s="9" t="s">
        <v>30</v>
      </c>
      <c r="J2" s="9" t="s">
        <v>31</v>
      </c>
      <c r="K2" s="9" t="s">
        <v>26</v>
      </c>
      <c r="L2" s="23"/>
      <c r="M2" s="23"/>
    </row>
    <row r="3" spans="1:14" ht="15" thickTop="1" x14ac:dyDescent="0.3">
      <c r="A3" t="s">
        <v>5</v>
      </c>
      <c r="B3" s="2" t="s">
        <v>6</v>
      </c>
      <c r="C3" s="1">
        <v>2</v>
      </c>
      <c r="D3" s="1">
        <v>30</v>
      </c>
      <c r="E3" s="1">
        <v>3.5</v>
      </c>
      <c r="G3" s="10">
        <v>1</v>
      </c>
      <c r="H3" s="10">
        <v>3</v>
      </c>
      <c r="I3" s="10">
        <v>1</v>
      </c>
      <c r="J3" s="10">
        <v>9</v>
      </c>
      <c r="K3" s="10">
        <v>0</v>
      </c>
    </row>
    <row r="4" spans="1:14" ht="15" thickTop="1" x14ac:dyDescent="0.3">
      <c r="A4" t="s">
        <v>7</v>
      </c>
      <c r="B4" s="2" t="s">
        <v>8</v>
      </c>
      <c r="C4" s="1">
        <v>1</v>
      </c>
      <c r="D4" s="1">
        <v>3</v>
      </c>
      <c r="E4" s="1">
        <v>4</v>
      </c>
      <c r="G4" s="1">
        <v>2</v>
      </c>
      <c r="H4" s="1">
        <v>5</v>
      </c>
      <c r="I4" s="1">
        <v>10</v>
      </c>
      <c r="J4" s="1">
        <v>4</v>
      </c>
      <c r="K4" s="1">
        <v>0</v>
      </c>
      <c r="N4" s="30" t="s">
        <v>51</v>
      </c>
    </row>
    <row r="5" spans="1:14" thickTop="1" x14ac:dyDescent="0.3">
      <c r="A5" t="s">
        <v>9</v>
      </c>
      <c r="B5" s="2" t="s">
        <v>6</v>
      </c>
      <c r="C5" s="1">
        <v>1</v>
      </c>
      <c r="D5" s="1">
        <v>7</v>
      </c>
      <c r="E5" s="1">
        <v>4.5</v>
      </c>
      <c r="G5" s="1">
        <v>3</v>
      </c>
      <c r="H5" s="1">
        <v>7</v>
      </c>
      <c r="I5" s="1">
        <v>3</v>
      </c>
      <c r="J5" s="1">
        <v>4</v>
      </c>
      <c r="K5" s="1">
        <v>0</v>
      </c>
      <c r="N5" s="26" t="s">
        <v>11</v>
      </c>
    </row>
    <row r="6" spans="1:14" thickTop="1" x14ac:dyDescent="0.3">
      <c r="A6" t="s">
        <v>10</v>
      </c>
      <c r="B6" s="2" t="s">
        <v>11</v>
      </c>
      <c r="C6" s="1">
        <v>2</v>
      </c>
      <c r="D6" s="1">
        <v>3</v>
      </c>
      <c r="E6" s="1">
        <v>4.5</v>
      </c>
      <c r="G6" s="1">
        <v>4</v>
      </c>
      <c r="H6" s="1">
        <v>11</v>
      </c>
      <c r="I6" s="1">
        <v>5</v>
      </c>
      <c r="J6" s="1">
        <v>12</v>
      </c>
      <c r="K6" s="1">
        <v>0</v>
      </c>
      <c r="N6" s="26" t="s">
        <v>52</v>
      </c>
    </row>
    <row r="7" spans="1:14" x14ac:dyDescent="0.3">
      <c r="A7" t="s">
        <v>12</v>
      </c>
      <c r="B7" s="2" t="s">
        <v>8</v>
      </c>
      <c r="C7" s="1">
        <v>2</v>
      </c>
      <c r="D7" s="1">
        <v>14</v>
      </c>
      <c r="E7" s="1">
        <v>5</v>
      </c>
      <c r="G7" s="1">
        <v>5</v>
      </c>
      <c r="H7" s="1">
        <v>10</v>
      </c>
      <c r="I7" s="1">
        <v>2</v>
      </c>
      <c r="J7" s="1">
        <v>12</v>
      </c>
      <c r="K7" s="1">
        <v>0</v>
      </c>
      <c r="N7" s="26" t="s">
        <v>53</v>
      </c>
    </row>
    <row r="8" spans="1:14" ht="15" thickBot="1" x14ac:dyDescent="0.35">
      <c r="A8" t="s">
        <v>13</v>
      </c>
      <c r="B8" s="2" t="s">
        <v>11</v>
      </c>
      <c r="C8" s="1">
        <v>1</v>
      </c>
      <c r="D8" s="1">
        <v>30</v>
      </c>
      <c r="E8" s="1">
        <v>5</v>
      </c>
      <c r="G8" s="29">
        <v>6</v>
      </c>
      <c r="H8" s="29">
        <v>9</v>
      </c>
      <c r="I8" s="29">
        <v>8</v>
      </c>
      <c r="J8" s="29">
        <v>7</v>
      </c>
      <c r="K8" s="29">
        <v>0</v>
      </c>
      <c r="N8" s="26" t="s">
        <v>54</v>
      </c>
    </row>
    <row r="9" spans="1:14" x14ac:dyDescent="0.3">
      <c r="A9" t="s">
        <v>14</v>
      </c>
      <c r="B9" s="2" t="s">
        <v>15</v>
      </c>
      <c r="C9" s="1">
        <v>3</v>
      </c>
      <c r="D9" s="1">
        <v>30</v>
      </c>
      <c r="E9" s="1">
        <v>4.5</v>
      </c>
      <c r="G9" s="1"/>
      <c r="H9" s="1"/>
      <c r="I9" s="1"/>
      <c r="J9" s="1"/>
      <c r="K9" s="1"/>
    </row>
    <row r="10" spans="1:14" x14ac:dyDescent="0.3">
      <c r="A10" t="s">
        <v>16</v>
      </c>
      <c r="B10" s="2" t="s">
        <v>8</v>
      </c>
      <c r="C10" s="1">
        <v>3</v>
      </c>
      <c r="D10" s="1">
        <v>7</v>
      </c>
      <c r="E10" s="1">
        <v>3.5</v>
      </c>
    </row>
    <row r="11" spans="1:14" x14ac:dyDescent="0.3">
      <c r="A11" t="s">
        <v>17</v>
      </c>
      <c r="B11" s="2" t="s">
        <v>6</v>
      </c>
      <c r="C11" s="1">
        <v>3</v>
      </c>
      <c r="D11" s="1">
        <v>3</v>
      </c>
      <c r="E11" s="1">
        <v>5</v>
      </c>
    </row>
    <row r="12" spans="1:14" x14ac:dyDescent="0.3">
      <c r="A12" t="s">
        <v>18</v>
      </c>
      <c r="B12" s="2" t="s">
        <v>15</v>
      </c>
      <c r="C12" s="1">
        <v>2</v>
      </c>
      <c r="D12" s="1">
        <v>7</v>
      </c>
      <c r="E12" s="1">
        <v>4</v>
      </c>
    </row>
    <row r="13" spans="1:14" x14ac:dyDescent="0.3">
      <c r="A13" t="s">
        <v>19</v>
      </c>
      <c r="B13" s="2" t="s">
        <v>15</v>
      </c>
      <c r="C13" s="1">
        <v>1</v>
      </c>
      <c r="D13" s="1">
        <v>14</v>
      </c>
      <c r="E13" s="1">
        <v>3.5</v>
      </c>
    </row>
    <row r="14" spans="1:14" ht="15" thickBot="1" x14ac:dyDescent="0.35">
      <c r="A14" s="4" t="s">
        <v>20</v>
      </c>
      <c r="B14" s="5" t="s">
        <v>11</v>
      </c>
      <c r="C14" s="3">
        <v>3</v>
      </c>
      <c r="D14" s="3">
        <v>14</v>
      </c>
      <c r="E14" s="3">
        <v>4</v>
      </c>
    </row>
    <row r="15" spans="1:14" ht="15.6" thickTop="1" thickBot="1" x14ac:dyDescent="0.35"/>
    <row r="16" spans="1:14" ht="15.6" thickTop="1" thickBot="1" x14ac:dyDescent="0.35">
      <c r="A16" s="8" t="s">
        <v>28</v>
      </c>
      <c r="B16" s="8" t="s">
        <v>26</v>
      </c>
      <c r="C16" s="8" t="s">
        <v>6</v>
      </c>
      <c r="D16" s="8" t="s">
        <v>27</v>
      </c>
      <c r="E16" s="8" t="s">
        <v>15</v>
      </c>
      <c r="F16" s="8">
        <v>1</v>
      </c>
      <c r="G16" s="8">
        <v>2</v>
      </c>
      <c r="H16" s="8">
        <v>30</v>
      </c>
      <c r="I16" s="8">
        <v>7</v>
      </c>
      <c r="J16" s="8">
        <v>14</v>
      </c>
      <c r="K16" s="8">
        <v>3.5</v>
      </c>
      <c r="L16" s="8">
        <v>4</v>
      </c>
      <c r="M16" s="8">
        <v>4.5</v>
      </c>
    </row>
    <row r="17" spans="1:13" ht="15" thickTop="1" x14ac:dyDescent="0.3">
      <c r="A17" s="1">
        <v>1</v>
      </c>
      <c r="B17" s="1">
        <v>0</v>
      </c>
      <c r="C17" s="1">
        <v>1</v>
      </c>
      <c r="D17" s="1">
        <v>0</v>
      </c>
      <c r="E17" s="1">
        <v>0</v>
      </c>
      <c r="F17" s="1">
        <v>0</v>
      </c>
      <c r="G17" s="1">
        <v>1</v>
      </c>
      <c r="H17" s="1">
        <v>1</v>
      </c>
      <c r="I17" s="1">
        <v>0</v>
      </c>
      <c r="J17" s="1">
        <v>0</v>
      </c>
      <c r="K17" s="1">
        <v>1</v>
      </c>
      <c r="L17" s="1">
        <v>0</v>
      </c>
      <c r="M17" s="1">
        <v>0</v>
      </c>
    </row>
    <row r="18" spans="1:13" x14ac:dyDescent="0.3">
      <c r="A18" s="1">
        <v>2</v>
      </c>
      <c r="B18" s="1">
        <v>0</v>
      </c>
      <c r="C18" s="1">
        <v>0</v>
      </c>
      <c r="D18" s="1">
        <v>1</v>
      </c>
      <c r="E18" s="1">
        <v>0</v>
      </c>
      <c r="F18" s="1">
        <v>1</v>
      </c>
      <c r="G18" s="1">
        <v>0</v>
      </c>
      <c r="H18" s="1">
        <v>0</v>
      </c>
      <c r="I18" s="1">
        <v>0</v>
      </c>
      <c r="J18" s="1">
        <v>0</v>
      </c>
      <c r="K18" s="1">
        <v>0</v>
      </c>
      <c r="L18" s="1">
        <v>1</v>
      </c>
      <c r="M18" s="1">
        <v>0</v>
      </c>
    </row>
    <row r="19" spans="1:13" x14ac:dyDescent="0.3">
      <c r="A19" s="1">
        <v>3</v>
      </c>
      <c r="B19" s="1">
        <v>0</v>
      </c>
      <c r="C19" s="1">
        <v>1</v>
      </c>
      <c r="D19" s="1">
        <v>0</v>
      </c>
      <c r="E19" s="1">
        <v>0</v>
      </c>
      <c r="F19" s="1">
        <v>1</v>
      </c>
      <c r="G19" s="1">
        <v>0</v>
      </c>
      <c r="H19" s="1">
        <v>0</v>
      </c>
      <c r="I19" s="1">
        <v>1</v>
      </c>
      <c r="J19" s="1">
        <v>0</v>
      </c>
      <c r="K19" s="1">
        <v>0</v>
      </c>
      <c r="L19" s="1">
        <v>0</v>
      </c>
      <c r="M19" s="1">
        <v>1</v>
      </c>
    </row>
    <row r="20" spans="1:13" x14ac:dyDescent="0.3">
      <c r="A20" s="1">
        <v>4</v>
      </c>
      <c r="B20" s="1">
        <v>0</v>
      </c>
      <c r="C20" s="1">
        <v>0</v>
      </c>
      <c r="D20" s="1">
        <v>0</v>
      </c>
      <c r="E20" s="1">
        <v>0</v>
      </c>
      <c r="F20" s="1">
        <v>0</v>
      </c>
      <c r="G20" s="1">
        <v>1</v>
      </c>
      <c r="H20" s="1">
        <v>0</v>
      </c>
      <c r="I20" s="1">
        <v>0</v>
      </c>
      <c r="J20" s="1">
        <v>0</v>
      </c>
      <c r="K20" s="1">
        <v>0</v>
      </c>
      <c r="L20" s="1">
        <v>0</v>
      </c>
      <c r="M20" s="1">
        <v>1</v>
      </c>
    </row>
    <row r="21" spans="1:13" x14ac:dyDescent="0.3">
      <c r="A21" s="1">
        <v>5</v>
      </c>
      <c r="B21" s="1">
        <v>0</v>
      </c>
      <c r="C21" s="1">
        <v>0</v>
      </c>
      <c r="D21" s="1">
        <v>1</v>
      </c>
      <c r="E21" s="1">
        <v>0</v>
      </c>
      <c r="F21" s="1">
        <v>0</v>
      </c>
      <c r="G21" s="1">
        <v>1</v>
      </c>
      <c r="H21" s="1">
        <v>0</v>
      </c>
      <c r="I21" s="1">
        <v>0</v>
      </c>
      <c r="J21" s="1">
        <v>1</v>
      </c>
      <c r="K21" s="1">
        <v>0</v>
      </c>
      <c r="L21" s="1">
        <v>0</v>
      </c>
      <c r="M21" s="1">
        <v>0</v>
      </c>
    </row>
    <row r="22" spans="1:13" x14ac:dyDescent="0.3">
      <c r="A22" s="1">
        <v>6</v>
      </c>
      <c r="B22" s="1">
        <v>0</v>
      </c>
      <c r="C22" s="1">
        <v>0</v>
      </c>
      <c r="D22" s="1">
        <v>0</v>
      </c>
      <c r="E22" s="1">
        <v>0</v>
      </c>
      <c r="F22" s="1">
        <v>1</v>
      </c>
      <c r="G22" s="1">
        <v>0</v>
      </c>
      <c r="H22" s="1">
        <v>1</v>
      </c>
      <c r="I22" s="1">
        <v>0</v>
      </c>
      <c r="J22" s="1">
        <v>0</v>
      </c>
      <c r="K22" s="1">
        <v>0</v>
      </c>
      <c r="L22" s="1">
        <v>0</v>
      </c>
      <c r="M22" s="1">
        <v>0</v>
      </c>
    </row>
    <row r="23" spans="1:13" x14ac:dyDescent="0.3">
      <c r="A23" s="1">
        <v>7</v>
      </c>
      <c r="B23" s="1">
        <v>0</v>
      </c>
      <c r="C23" s="1">
        <v>0</v>
      </c>
      <c r="D23" s="1">
        <v>0</v>
      </c>
      <c r="E23" s="1">
        <v>1</v>
      </c>
      <c r="F23" s="1">
        <v>0</v>
      </c>
      <c r="G23" s="1">
        <v>0</v>
      </c>
      <c r="H23" s="1">
        <v>1</v>
      </c>
      <c r="I23" s="1">
        <v>0</v>
      </c>
      <c r="J23" s="1">
        <v>0</v>
      </c>
      <c r="K23" s="1">
        <v>0</v>
      </c>
      <c r="L23" s="1">
        <v>0</v>
      </c>
      <c r="M23" s="1">
        <v>1</v>
      </c>
    </row>
    <row r="24" spans="1:13" x14ac:dyDescent="0.3">
      <c r="A24" s="1">
        <v>8</v>
      </c>
      <c r="B24" s="1">
        <v>0</v>
      </c>
      <c r="C24" s="1">
        <v>0</v>
      </c>
      <c r="D24" s="1">
        <v>1</v>
      </c>
      <c r="E24" s="1">
        <v>0</v>
      </c>
      <c r="F24" s="1">
        <v>0</v>
      </c>
      <c r="G24" s="1">
        <v>0</v>
      </c>
      <c r="H24" s="1">
        <v>0</v>
      </c>
      <c r="I24" s="1">
        <v>1</v>
      </c>
      <c r="J24" s="1">
        <v>0</v>
      </c>
      <c r="K24" s="1">
        <v>1</v>
      </c>
      <c r="L24" s="1">
        <v>0</v>
      </c>
      <c r="M24" s="1">
        <v>0</v>
      </c>
    </row>
    <row r="25" spans="1:13" x14ac:dyDescent="0.3">
      <c r="A25" s="1">
        <v>9</v>
      </c>
      <c r="B25" s="1">
        <v>0</v>
      </c>
      <c r="C25" s="1">
        <v>1</v>
      </c>
      <c r="D25" s="1">
        <v>0</v>
      </c>
      <c r="E25" s="1">
        <v>0</v>
      </c>
      <c r="F25" s="1">
        <v>0</v>
      </c>
      <c r="G25" s="1">
        <v>0</v>
      </c>
      <c r="H25" s="1">
        <v>0</v>
      </c>
      <c r="I25" s="1">
        <v>0</v>
      </c>
      <c r="J25" s="1">
        <v>0</v>
      </c>
      <c r="K25" s="1">
        <v>0</v>
      </c>
      <c r="L25" s="1">
        <v>0</v>
      </c>
      <c r="M25" s="1">
        <v>0</v>
      </c>
    </row>
    <row r="26" spans="1:13" x14ac:dyDescent="0.3">
      <c r="A26" s="1">
        <v>10</v>
      </c>
      <c r="B26" s="1">
        <v>0</v>
      </c>
      <c r="C26" s="1">
        <v>0</v>
      </c>
      <c r="D26" s="1">
        <v>0</v>
      </c>
      <c r="E26" s="1">
        <v>1</v>
      </c>
      <c r="F26" s="1">
        <v>0</v>
      </c>
      <c r="G26" s="1">
        <v>1</v>
      </c>
      <c r="H26" s="1">
        <v>0</v>
      </c>
      <c r="I26" s="1">
        <v>1</v>
      </c>
      <c r="J26" s="1">
        <v>0</v>
      </c>
      <c r="K26" s="1">
        <v>0</v>
      </c>
      <c r="L26" s="1">
        <v>1</v>
      </c>
      <c r="M26" s="1">
        <v>0</v>
      </c>
    </row>
    <row r="27" spans="1:13" x14ac:dyDescent="0.3">
      <c r="A27" s="1">
        <v>11</v>
      </c>
      <c r="B27" s="1">
        <v>0</v>
      </c>
      <c r="C27" s="1">
        <v>0</v>
      </c>
      <c r="D27" s="1">
        <v>0</v>
      </c>
      <c r="E27" s="1">
        <v>1</v>
      </c>
      <c r="F27" s="1">
        <v>1</v>
      </c>
      <c r="G27" s="1">
        <v>0</v>
      </c>
      <c r="H27" s="1">
        <v>0</v>
      </c>
      <c r="I27" s="1">
        <v>0</v>
      </c>
      <c r="J27" s="1">
        <v>1</v>
      </c>
      <c r="K27" s="1">
        <v>1</v>
      </c>
      <c r="L27" s="1">
        <v>0</v>
      </c>
      <c r="M27" s="1">
        <v>0</v>
      </c>
    </row>
    <row r="28" spans="1:13" ht="15" thickBot="1" x14ac:dyDescent="0.35">
      <c r="A28" s="3">
        <v>12</v>
      </c>
      <c r="B28" s="3">
        <v>0</v>
      </c>
      <c r="C28" s="3">
        <v>0</v>
      </c>
      <c r="D28" s="3">
        <v>0</v>
      </c>
      <c r="E28" s="3">
        <v>0</v>
      </c>
      <c r="F28" s="3">
        <v>0</v>
      </c>
      <c r="G28" s="3">
        <v>0</v>
      </c>
      <c r="H28" s="3">
        <v>0</v>
      </c>
      <c r="I28" s="3">
        <v>0</v>
      </c>
      <c r="J28" s="3">
        <v>1</v>
      </c>
      <c r="K28" s="3">
        <v>0</v>
      </c>
      <c r="L28" s="3">
        <v>1</v>
      </c>
      <c r="M28" s="3">
        <v>0</v>
      </c>
    </row>
    <row r="29" spans="1:13" ht="15" thickTop="1" x14ac:dyDescent="0.3"/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03AAA-D998-41C2-BB1E-1EA12CD8E7B3}">
  <sheetPr codeName="Sheet2"/>
  <dimension ref="A1:AX194"/>
  <sheetViews>
    <sheetView workbookViewId="0">
      <selection activeCell="AM3" sqref="AM3"/>
    </sheetView>
  </sheetViews>
  <sheetFormatPr defaultRowHeight="14.4" x14ac:dyDescent="0.3"/>
  <cols>
    <col min="4" max="4" width="10.44140625" bestFit="1" customWidth="1"/>
    <col min="5" max="5" width="15" bestFit="1" customWidth="1"/>
    <col min="6" max="6" width="16.33203125" bestFit="1" customWidth="1"/>
  </cols>
  <sheetData>
    <row r="1" spans="1:50" x14ac:dyDescent="0.3">
      <c r="C1" s="31" t="s">
        <v>23</v>
      </c>
      <c r="D1" s="31"/>
      <c r="E1" s="31"/>
      <c r="F1" s="31"/>
      <c r="G1" s="31"/>
      <c r="H1" s="31"/>
      <c r="I1" s="31"/>
      <c r="J1" s="31"/>
      <c r="K1" s="31"/>
      <c r="L1" s="31"/>
      <c r="M1" s="31"/>
      <c r="N1" s="31"/>
      <c r="O1" s="31" t="s">
        <v>24</v>
      </c>
      <c r="P1" s="31"/>
      <c r="Q1" s="31"/>
      <c r="R1" s="31"/>
      <c r="S1" s="31"/>
      <c r="T1" s="31"/>
      <c r="U1" s="31"/>
      <c r="V1" s="31"/>
      <c r="W1" s="31"/>
      <c r="X1" s="31"/>
      <c r="Y1" s="31"/>
      <c r="Z1" s="31"/>
      <c r="AA1" s="32" t="s">
        <v>25</v>
      </c>
      <c r="AB1" s="32"/>
      <c r="AC1" s="32"/>
      <c r="AD1" s="32"/>
      <c r="AE1" s="32"/>
      <c r="AF1" s="32"/>
      <c r="AG1" s="32"/>
      <c r="AH1" s="32"/>
      <c r="AI1" s="32"/>
      <c r="AJ1" s="32"/>
      <c r="AK1" s="32"/>
      <c r="AL1" s="32"/>
      <c r="AM1" s="33" t="s">
        <v>26</v>
      </c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</row>
    <row r="2" spans="1:50" x14ac:dyDescent="0.3">
      <c r="A2" s="12" t="s">
        <v>22</v>
      </c>
      <c r="B2" s="12" t="s">
        <v>21</v>
      </c>
      <c r="C2" s="13" t="s">
        <v>26</v>
      </c>
      <c r="D2" s="13" t="s">
        <v>6</v>
      </c>
      <c r="E2" s="14" t="s">
        <v>27</v>
      </c>
      <c r="F2" s="14" t="s">
        <v>15</v>
      </c>
      <c r="G2" s="14">
        <v>1</v>
      </c>
      <c r="H2" s="15">
        <v>2</v>
      </c>
      <c r="I2" s="15">
        <v>30</v>
      </c>
      <c r="J2" s="14">
        <v>7</v>
      </c>
      <c r="K2" s="14">
        <v>14</v>
      </c>
      <c r="L2" s="16">
        <v>3.5</v>
      </c>
      <c r="M2" s="17">
        <v>4</v>
      </c>
      <c r="N2" s="16">
        <v>4.5</v>
      </c>
      <c r="O2" s="18" t="s">
        <v>26</v>
      </c>
      <c r="P2" s="18" t="s">
        <v>6</v>
      </c>
      <c r="Q2" s="19" t="s">
        <v>27</v>
      </c>
      <c r="R2" s="19" t="s">
        <v>15</v>
      </c>
      <c r="S2" s="19">
        <v>1</v>
      </c>
      <c r="T2" s="20">
        <v>2</v>
      </c>
      <c r="U2" s="20">
        <v>30</v>
      </c>
      <c r="V2" s="19">
        <v>7</v>
      </c>
      <c r="W2" s="19">
        <v>14</v>
      </c>
      <c r="X2" s="21">
        <v>3.5</v>
      </c>
      <c r="Y2" s="22">
        <v>4</v>
      </c>
      <c r="Z2" s="21">
        <v>4.5</v>
      </c>
      <c r="AA2" s="13" t="s">
        <v>26</v>
      </c>
      <c r="AB2" s="13" t="s">
        <v>6</v>
      </c>
      <c r="AC2" s="14" t="s">
        <v>27</v>
      </c>
      <c r="AD2" s="14" t="s">
        <v>15</v>
      </c>
      <c r="AE2" s="14">
        <v>1</v>
      </c>
      <c r="AF2" s="15">
        <v>2</v>
      </c>
      <c r="AG2" s="15">
        <v>30</v>
      </c>
      <c r="AH2" s="14">
        <v>7</v>
      </c>
      <c r="AI2" s="14">
        <v>14</v>
      </c>
      <c r="AJ2" s="16">
        <v>3.5</v>
      </c>
      <c r="AK2" s="17">
        <v>4</v>
      </c>
      <c r="AL2" s="16">
        <v>4.5</v>
      </c>
      <c r="AM2" s="18" t="s">
        <v>26</v>
      </c>
      <c r="AN2" s="18" t="s">
        <v>6</v>
      </c>
      <c r="AO2" s="19" t="s">
        <v>27</v>
      </c>
      <c r="AP2" s="19" t="s">
        <v>15</v>
      </c>
      <c r="AQ2" s="19">
        <v>1</v>
      </c>
      <c r="AR2" s="20">
        <v>2</v>
      </c>
      <c r="AS2" s="20">
        <v>30</v>
      </c>
      <c r="AT2" s="19">
        <v>7</v>
      </c>
      <c r="AU2" s="19">
        <v>14</v>
      </c>
      <c r="AV2" s="21">
        <v>3.5</v>
      </c>
      <c r="AW2" s="22">
        <v>4</v>
      </c>
      <c r="AX2" s="21">
        <v>4.5</v>
      </c>
    </row>
    <row r="3" spans="1:50" x14ac:dyDescent="0.3">
      <c r="A3" s="11">
        <v>1</v>
      </c>
      <c r="B3" s="11">
        <v>1</v>
      </c>
      <c r="C3" s="15">
        <v>0</v>
      </c>
      <c r="D3" s="15">
        <v>1</v>
      </c>
      <c r="E3" s="15">
        <v>0</v>
      </c>
      <c r="F3" s="15">
        <v>0</v>
      </c>
      <c r="G3" s="15">
        <v>1</v>
      </c>
      <c r="H3" s="15">
        <v>0</v>
      </c>
      <c r="I3" s="15">
        <v>0</v>
      </c>
      <c r="J3" s="15">
        <v>1</v>
      </c>
      <c r="K3" s="15">
        <v>0</v>
      </c>
      <c r="L3" s="15">
        <v>0</v>
      </c>
      <c r="M3" s="15">
        <v>0</v>
      </c>
      <c r="N3" s="15">
        <v>1</v>
      </c>
      <c r="O3" s="20">
        <v>0</v>
      </c>
      <c r="P3" s="20">
        <v>1</v>
      </c>
      <c r="Q3" s="20">
        <v>0</v>
      </c>
      <c r="R3" s="20">
        <v>0</v>
      </c>
      <c r="S3" s="20">
        <v>0</v>
      </c>
      <c r="T3" s="20">
        <v>1</v>
      </c>
      <c r="U3" s="20">
        <v>1</v>
      </c>
      <c r="V3" s="20">
        <v>0</v>
      </c>
      <c r="W3" s="20">
        <v>0</v>
      </c>
      <c r="X3" s="20">
        <v>1</v>
      </c>
      <c r="Y3" s="20">
        <v>0</v>
      </c>
      <c r="Z3" s="20">
        <v>0</v>
      </c>
      <c r="AA3" s="15">
        <v>0</v>
      </c>
      <c r="AB3" s="15">
        <v>1</v>
      </c>
      <c r="AC3" s="15">
        <v>0</v>
      </c>
      <c r="AD3" s="15">
        <v>0</v>
      </c>
      <c r="AE3" s="15">
        <v>0</v>
      </c>
      <c r="AF3" s="15">
        <v>0</v>
      </c>
      <c r="AG3" s="15">
        <v>0</v>
      </c>
      <c r="AH3" s="15">
        <v>0</v>
      </c>
      <c r="AI3" s="15">
        <v>0</v>
      </c>
      <c r="AJ3" s="15">
        <v>0</v>
      </c>
      <c r="AK3" s="15">
        <v>0</v>
      </c>
      <c r="AL3" s="15">
        <v>0</v>
      </c>
      <c r="AM3" s="20">
        <v>1</v>
      </c>
      <c r="AN3" s="20">
        <v>0</v>
      </c>
      <c r="AO3" s="20">
        <v>0</v>
      </c>
      <c r="AP3" s="20">
        <v>0</v>
      </c>
      <c r="AQ3" s="20">
        <v>0</v>
      </c>
      <c r="AR3" s="20">
        <v>0</v>
      </c>
      <c r="AS3" s="20">
        <v>0</v>
      </c>
      <c r="AT3" s="20">
        <v>0</v>
      </c>
      <c r="AU3" s="20">
        <v>0</v>
      </c>
      <c r="AV3" s="20">
        <v>0</v>
      </c>
      <c r="AW3" s="20">
        <v>0</v>
      </c>
      <c r="AX3" s="20">
        <v>0</v>
      </c>
    </row>
    <row r="4" spans="1:50" x14ac:dyDescent="0.3">
      <c r="A4" s="11">
        <v>1</v>
      </c>
      <c r="B4" s="11">
        <v>2</v>
      </c>
      <c r="C4" s="15">
        <v>0</v>
      </c>
      <c r="D4" s="15">
        <v>0</v>
      </c>
      <c r="E4" s="15">
        <v>1</v>
      </c>
      <c r="F4" s="15">
        <v>0</v>
      </c>
      <c r="G4" s="15">
        <v>0</v>
      </c>
      <c r="H4" s="15">
        <v>1</v>
      </c>
      <c r="I4" s="15">
        <v>0</v>
      </c>
      <c r="J4" s="15">
        <v>0</v>
      </c>
      <c r="K4" s="15">
        <v>1</v>
      </c>
      <c r="L4" s="15">
        <v>0</v>
      </c>
      <c r="M4" s="15">
        <v>0</v>
      </c>
      <c r="N4" s="15">
        <v>0</v>
      </c>
      <c r="O4" s="20">
        <v>0</v>
      </c>
      <c r="P4" s="20">
        <v>0</v>
      </c>
      <c r="Q4" s="20">
        <v>0</v>
      </c>
      <c r="R4" s="20">
        <v>1</v>
      </c>
      <c r="S4" s="20">
        <v>0</v>
      </c>
      <c r="T4" s="20">
        <v>1</v>
      </c>
      <c r="U4" s="20">
        <v>0</v>
      </c>
      <c r="V4" s="20">
        <v>1</v>
      </c>
      <c r="W4" s="20">
        <v>0</v>
      </c>
      <c r="X4" s="20">
        <v>0</v>
      </c>
      <c r="Y4" s="20">
        <v>1</v>
      </c>
      <c r="Z4" s="20">
        <v>0</v>
      </c>
      <c r="AA4" s="15">
        <v>0</v>
      </c>
      <c r="AB4" s="15">
        <v>0</v>
      </c>
      <c r="AC4" s="15">
        <v>0</v>
      </c>
      <c r="AD4" s="15">
        <v>0</v>
      </c>
      <c r="AE4" s="15">
        <v>0</v>
      </c>
      <c r="AF4" s="15">
        <v>1</v>
      </c>
      <c r="AG4" s="15">
        <v>0</v>
      </c>
      <c r="AH4" s="15">
        <v>0</v>
      </c>
      <c r="AI4" s="15">
        <v>0</v>
      </c>
      <c r="AJ4" s="15">
        <v>0</v>
      </c>
      <c r="AK4" s="15">
        <v>0</v>
      </c>
      <c r="AL4" s="15">
        <v>1</v>
      </c>
      <c r="AM4" s="20">
        <v>1</v>
      </c>
      <c r="AN4" s="20">
        <v>0</v>
      </c>
      <c r="AO4" s="20">
        <v>0</v>
      </c>
      <c r="AP4" s="20">
        <v>0</v>
      </c>
      <c r="AQ4" s="20">
        <v>0</v>
      </c>
      <c r="AR4" s="20">
        <v>0</v>
      </c>
      <c r="AS4" s="20">
        <v>0</v>
      </c>
      <c r="AT4" s="20">
        <v>0</v>
      </c>
      <c r="AU4" s="20">
        <v>0</v>
      </c>
      <c r="AV4" s="20">
        <v>0</v>
      </c>
      <c r="AW4" s="20">
        <v>0</v>
      </c>
      <c r="AX4" s="20">
        <v>0</v>
      </c>
    </row>
    <row r="5" spans="1:50" x14ac:dyDescent="0.3">
      <c r="A5" s="11">
        <v>1</v>
      </c>
      <c r="B5" s="11">
        <v>3</v>
      </c>
      <c r="C5" s="15">
        <v>0</v>
      </c>
      <c r="D5" s="15">
        <v>0</v>
      </c>
      <c r="E5" s="15">
        <v>0</v>
      </c>
      <c r="F5" s="15">
        <v>1</v>
      </c>
      <c r="G5" s="15">
        <v>0</v>
      </c>
      <c r="H5" s="15">
        <v>0</v>
      </c>
      <c r="I5" s="15">
        <v>1</v>
      </c>
      <c r="J5" s="15">
        <v>0</v>
      </c>
      <c r="K5" s="15">
        <v>0</v>
      </c>
      <c r="L5" s="15">
        <v>0</v>
      </c>
      <c r="M5" s="15">
        <v>0</v>
      </c>
      <c r="N5" s="15">
        <v>1</v>
      </c>
      <c r="O5" s="20">
        <v>0</v>
      </c>
      <c r="P5" s="20">
        <v>1</v>
      </c>
      <c r="Q5" s="20">
        <v>0</v>
      </c>
      <c r="R5" s="20">
        <v>0</v>
      </c>
      <c r="S5" s="20">
        <v>1</v>
      </c>
      <c r="T5" s="20">
        <v>0</v>
      </c>
      <c r="U5" s="20">
        <v>0</v>
      </c>
      <c r="V5" s="20">
        <v>1</v>
      </c>
      <c r="W5" s="20">
        <v>0</v>
      </c>
      <c r="X5" s="20">
        <v>0</v>
      </c>
      <c r="Y5" s="20">
        <v>0</v>
      </c>
      <c r="Z5" s="20">
        <v>1</v>
      </c>
      <c r="AA5" s="15">
        <v>0</v>
      </c>
      <c r="AB5" s="15">
        <v>0</v>
      </c>
      <c r="AC5" s="15">
        <v>0</v>
      </c>
      <c r="AD5" s="15">
        <v>0</v>
      </c>
      <c r="AE5" s="15">
        <v>0</v>
      </c>
      <c r="AF5" s="15">
        <v>1</v>
      </c>
      <c r="AG5" s="15">
        <v>0</v>
      </c>
      <c r="AH5" s="15">
        <v>0</v>
      </c>
      <c r="AI5" s="15">
        <v>0</v>
      </c>
      <c r="AJ5" s="15">
        <v>0</v>
      </c>
      <c r="AK5" s="15">
        <v>0</v>
      </c>
      <c r="AL5" s="15">
        <v>1</v>
      </c>
      <c r="AM5" s="20">
        <v>1</v>
      </c>
      <c r="AN5" s="20">
        <v>0</v>
      </c>
      <c r="AO5" s="20">
        <v>0</v>
      </c>
      <c r="AP5" s="20">
        <v>0</v>
      </c>
      <c r="AQ5" s="20">
        <v>0</v>
      </c>
      <c r="AR5" s="20">
        <v>0</v>
      </c>
      <c r="AS5" s="20">
        <v>0</v>
      </c>
      <c r="AT5" s="20">
        <v>0</v>
      </c>
      <c r="AU5" s="20">
        <v>0</v>
      </c>
      <c r="AV5" s="20">
        <v>0</v>
      </c>
      <c r="AW5" s="20">
        <v>0</v>
      </c>
      <c r="AX5" s="20">
        <v>0</v>
      </c>
    </row>
    <row r="6" spans="1:50" x14ac:dyDescent="0.3">
      <c r="A6" s="11">
        <v>1</v>
      </c>
      <c r="B6" s="11">
        <v>4</v>
      </c>
      <c r="C6" s="15">
        <v>0</v>
      </c>
      <c r="D6" s="15">
        <v>0</v>
      </c>
      <c r="E6" s="15">
        <v>0</v>
      </c>
      <c r="F6" s="15">
        <v>1</v>
      </c>
      <c r="G6" s="15">
        <v>1</v>
      </c>
      <c r="H6" s="15">
        <v>0</v>
      </c>
      <c r="I6" s="15">
        <v>0</v>
      </c>
      <c r="J6" s="15">
        <v>0</v>
      </c>
      <c r="K6" s="15">
        <v>1</v>
      </c>
      <c r="L6" s="15">
        <v>1</v>
      </c>
      <c r="M6" s="15">
        <v>0</v>
      </c>
      <c r="N6" s="15">
        <v>0</v>
      </c>
      <c r="O6" s="20">
        <v>0</v>
      </c>
      <c r="P6" s="20">
        <v>0</v>
      </c>
      <c r="Q6" s="20">
        <v>1</v>
      </c>
      <c r="R6" s="20">
        <v>0</v>
      </c>
      <c r="S6" s="20">
        <v>0</v>
      </c>
      <c r="T6" s="20">
        <v>1</v>
      </c>
      <c r="U6" s="20">
        <v>0</v>
      </c>
      <c r="V6" s="20">
        <v>0</v>
      </c>
      <c r="W6" s="20">
        <v>1</v>
      </c>
      <c r="X6" s="20">
        <v>0</v>
      </c>
      <c r="Y6" s="20">
        <v>0</v>
      </c>
      <c r="Z6" s="20">
        <v>0</v>
      </c>
      <c r="AA6" s="15">
        <v>0</v>
      </c>
      <c r="AB6" s="15">
        <v>0</v>
      </c>
      <c r="AC6" s="15">
        <v>0</v>
      </c>
      <c r="AD6" s="15">
        <v>0</v>
      </c>
      <c r="AE6" s="15">
        <v>0</v>
      </c>
      <c r="AF6" s="15">
        <v>0</v>
      </c>
      <c r="AG6" s="15">
        <v>0</v>
      </c>
      <c r="AH6" s="15">
        <v>0</v>
      </c>
      <c r="AI6" s="15">
        <v>1</v>
      </c>
      <c r="AJ6" s="15">
        <v>0</v>
      </c>
      <c r="AK6" s="15">
        <v>1</v>
      </c>
      <c r="AL6" s="15">
        <v>0</v>
      </c>
      <c r="AM6" s="20">
        <v>1</v>
      </c>
      <c r="AN6" s="20">
        <v>0</v>
      </c>
      <c r="AO6" s="20">
        <v>0</v>
      </c>
      <c r="AP6" s="20">
        <v>0</v>
      </c>
      <c r="AQ6" s="20">
        <v>0</v>
      </c>
      <c r="AR6" s="20">
        <v>0</v>
      </c>
      <c r="AS6" s="20">
        <v>0</v>
      </c>
      <c r="AT6" s="20">
        <v>0</v>
      </c>
      <c r="AU6" s="20">
        <v>0</v>
      </c>
      <c r="AV6" s="20">
        <v>0</v>
      </c>
      <c r="AW6" s="20">
        <v>0</v>
      </c>
      <c r="AX6" s="20">
        <v>0</v>
      </c>
    </row>
    <row r="7" spans="1:50" x14ac:dyDescent="0.3">
      <c r="A7" s="11">
        <v>1</v>
      </c>
      <c r="B7" s="11">
        <v>5</v>
      </c>
      <c r="C7" s="15">
        <v>0</v>
      </c>
      <c r="D7" s="15">
        <v>0</v>
      </c>
      <c r="E7" s="15">
        <v>0</v>
      </c>
      <c r="F7" s="15">
        <v>1</v>
      </c>
      <c r="G7" s="15">
        <v>0</v>
      </c>
      <c r="H7" s="15">
        <v>1</v>
      </c>
      <c r="I7" s="15">
        <v>0</v>
      </c>
      <c r="J7" s="15">
        <v>1</v>
      </c>
      <c r="K7" s="15">
        <v>0</v>
      </c>
      <c r="L7" s="15">
        <v>0</v>
      </c>
      <c r="M7" s="15">
        <v>1</v>
      </c>
      <c r="N7" s="15">
        <v>0</v>
      </c>
      <c r="O7" s="20">
        <v>0</v>
      </c>
      <c r="P7" s="20">
        <v>0</v>
      </c>
      <c r="Q7" s="20">
        <v>1</v>
      </c>
      <c r="R7" s="20">
        <v>0</v>
      </c>
      <c r="S7" s="20">
        <v>1</v>
      </c>
      <c r="T7" s="20">
        <v>0</v>
      </c>
      <c r="U7" s="20">
        <v>0</v>
      </c>
      <c r="V7" s="20">
        <v>0</v>
      </c>
      <c r="W7" s="20">
        <v>0</v>
      </c>
      <c r="X7" s="20">
        <v>0</v>
      </c>
      <c r="Y7" s="20">
        <v>1</v>
      </c>
      <c r="Z7" s="20">
        <v>0</v>
      </c>
      <c r="AA7" s="15">
        <v>0</v>
      </c>
      <c r="AB7" s="15">
        <v>0</v>
      </c>
      <c r="AC7" s="15">
        <v>0</v>
      </c>
      <c r="AD7" s="15">
        <v>0</v>
      </c>
      <c r="AE7" s="15">
        <v>0</v>
      </c>
      <c r="AF7" s="15">
        <v>0</v>
      </c>
      <c r="AG7" s="15">
        <v>0</v>
      </c>
      <c r="AH7" s="15">
        <v>0</v>
      </c>
      <c r="AI7" s="15">
        <v>1</v>
      </c>
      <c r="AJ7" s="15">
        <v>0</v>
      </c>
      <c r="AK7" s="15">
        <v>1</v>
      </c>
      <c r="AL7" s="15">
        <v>0</v>
      </c>
      <c r="AM7" s="20">
        <v>1</v>
      </c>
      <c r="AN7" s="20">
        <v>0</v>
      </c>
      <c r="AO7" s="20">
        <v>0</v>
      </c>
      <c r="AP7" s="20">
        <v>0</v>
      </c>
      <c r="AQ7" s="20">
        <v>0</v>
      </c>
      <c r="AR7" s="20">
        <v>0</v>
      </c>
      <c r="AS7" s="20">
        <v>0</v>
      </c>
      <c r="AT7" s="20">
        <v>0</v>
      </c>
      <c r="AU7" s="20">
        <v>0</v>
      </c>
      <c r="AV7" s="20">
        <v>0</v>
      </c>
      <c r="AW7" s="20">
        <v>0</v>
      </c>
      <c r="AX7" s="20">
        <v>0</v>
      </c>
    </row>
    <row r="8" spans="1:50" x14ac:dyDescent="0.3">
      <c r="A8" s="11">
        <v>1</v>
      </c>
      <c r="B8" s="11">
        <v>6</v>
      </c>
      <c r="C8" s="15">
        <v>0</v>
      </c>
      <c r="D8" s="15">
        <v>1</v>
      </c>
      <c r="E8" s="15">
        <v>0</v>
      </c>
      <c r="F8" s="15">
        <v>0</v>
      </c>
      <c r="G8" s="15">
        <v>0</v>
      </c>
      <c r="H8" s="15">
        <v>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20">
        <v>0</v>
      </c>
      <c r="P8" s="20">
        <v>0</v>
      </c>
      <c r="Q8" s="20">
        <v>1</v>
      </c>
      <c r="R8" s="20">
        <v>0</v>
      </c>
      <c r="S8" s="20">
        <v>0</v>
      </c>
      <c r="T8" s="20">
        <v>0</v>
      </c>
      <c r="U8" s="20">
        <v>0</v>
      </c>
      <c r="V8" s="20">
        <v>1</v>
      </c>
      <c r="W8" s="20">
        <v>0</v>
      </c>
      <c r="X8" s="20">
        <v>1</v>
      </c>
      <c r="Y8" s="20">
        <v>0</v>
      </c>
      <c r="Z8" s="20">
        <v>0</v>
      </c>
      <c r="AA8" s="15">
        <v>0</v>
      </c>
      <c r="AB8" s="15">
        <v>0</v>
      </c>
      <c r="AC8" s="15">
        <v>0</v>
      </c>
      <c r="AD8" s="15">
        <v>1</v>
      </c>
      <c r="AE8" s="15">
        <v>0</v>
      </c>
      <c r="AF8" s="15">
        <v>0</v>
      </c>
      <c r="AG8" s="15">
        <v>1</v>
      </c>
      <c r="AH8" s="15">
        <v>0</v>
      </c>
      <c r="AI8" s="15">
        <v>0</v>
      </c>
      <c r="AJ8" s="15">
        <v>0</v>
      </c>
      <c r="AK8" s="15">
        <v>0</v>
      </c>
      <c r="AL8" s="15">
        <v>1</v>
      </c>
      <c r="AM8" s="20">
        <v>1</v>
      </c>
      <c r="AN8" s="20">
        <v>0</v>
      </c>
      <c r="AO8" s="20">
        <v>0</v>
      </c>
      <c r="AP8" s="20">
        <v>0</v>
      </c>
      <c r="AQ8" s="20">
        <v>0</v>
      </c>
      <c r="AR8" s="20">
        <v>0</v>
      </c>
      <c r="AS8" s="20">
        <v>0</v>
      </c>
      <c r="AT8" s="20">
        <v>0</v>
      </c>
      <c r="AU8" s="20">
        <v>0</v>
      </c>
      <c r="AV8" s="20">
        <v>0</v>
      </c>
      <c r="AW8" s="20">
        <v>0</v>
      </c>
      <c r="AX8" s="20">
        <v>0</v>
      </c>
    </row>
    <row r="9" spans="1:50" x14ac:dyDescent="0.3">
      <c r="A9" s="11">
        <v>2</v>
      </c>
      <c r="B9" s="11">
        <v>1</v>
      </c>
      <c r="C9" s="15">
        <v>0</v>
      </c>
      <c r="D9" s="15">
        <v>1</v>
      </c>
      <c r="E9" s="15">
        <v>0</v>
      </c>
      <c r="F9" s="15">
        <v>0</v>
      </c>
      <c r="G9" s="15">
        <v>1</v>
      </c>
      <c r="H9" s="15">
        <v>0</v>
      </c>
      <c r="I9" s="15">
        <v>0</v>
      </c>
      <c r="J9" s="15">
        <v>1</v>
      </c>
      <c r="K9" s="15">
        <v>0</v>
      </c>
      <c r="L9" s="15">
        <v>0</v>
      </c>
      <c r="M9" s="15">
        <v>0</v>
      </c>
      <c r="N9" s="15">
        <v>1</v>
      </c>
      <c r="O9" s="20">
        <v>0</v>
      </c>
      <c r="P9" s="20">
        <v>1</v>
      </c>
      <c r="Q9" s="20">
        <v>0</v>
      </c>
      <c r="R9" s="20">
        <v>0</v>
      </c>
      <c r="S9" s="20">
        <v>0</v>
      </c>
      <c r="T9" s="20">
        <v>1</v>
      </c>
      <c r="U9" s="20">
        <v>1</v>
      </c>
      <c r="V9" s="20">
        <v>0</v>
      </c>
      <c r="W9" s="20">
        <v>0</v>
      </c>
      <c r="X9" s="20">
        <v>1</v>
      </c>
      <c r="Y9" s="20">
        <v>0</v>
      </c>
      <c r="Z9" s="20">
        <v>0</v>
      </c>
      <c r="AA9" s="15">
        <v>0</v>
      </c>
      <c r="AB9" s="15">
        <v>1</v>
      </c>
      <c r="AC9" s="15">
        <v>0</v>
      </c>
      <c r="AD9" s="15">
        <v>0</v>
      </c>
      <c r="AE9" s="15">
        <v>0</v>
      </c>
      <c r="AF9" s="15">
        <v>0</v>
      </c>
      <c r="AG9" s="15">
        <v>0</v>
      </c>
      <c r="AH9" s="15">
        <v>0</v>
      </c>
      <c r="AI9" s="15">
        <v>0</v>
      </c>
      <c r="AJ9" s="15">
        <v>0</v>
      </c>
      <c r="AK9" s="15">
        <v>0</v>
      </c>
      <c r="AL9" s="15">
        <v>0</v>
      </c>
      <c r="AM9" s="20">
        <v>1</v>
      </c>
      <c r="AN9" s="20">
        <v>0</v>
      </c>
      <c r="AO9" s="20">
        <v>0</v>
      </c>
      <c r="AP9" s="20">
        <v>0</v>
      </c>
      <c r="AQ9" s="20">
        <v>0</v>
      </c>
      <c r="AR9" s="20">
        <v>0</v>
      </c>
      <c r="AS9" s="20">
        <v>0</v>
      </c>
      <c r="AT9" s="20">
        <v>0</v>
      </c>
      <c r="AU9" s="20">
        <v>0</v>
      </c>
      <c r="AV9" s="20">
        <v>0</v>
      </c>
      <c r="AW9" s="20">
        <v>0</v>
      </c>
      <c r="AX9" s="20">
        <v>0</v>
      </c>
    </row>
    <row r="10" spans="1:50" x14ac:dyDescent="0.3">
      <c r="A10" s="11">
        <v>2</v>
      </c>
      <c r="B10" s="11">
        <v>2</v>
      </c>
      <c r="C10" s="15">
        <v>0</v>
      </c>
      <c r="D10" s="15">
        <v>0</v>
      </c>
      <c r="E10" s="15">
        <v>1</v>
      </c>
      <c r="F10" s="15">
        <v>0</v>
      </c>
      <c r="G10" s="15">
        <v>0</v>
      </c>
      <c r="H10" s="15">
        <v>1</v>
      </c>
      <c r="I10" s="15">
        <v>0</v>
      </c>
      <c r="J10" s="15">
        <v>0</v>
      </c>
      <c r="K10" s="15">
        <v>1</v>
      </c>
      <c r="L10" s="15">
        <v>0</v>
      </c>
      <c r="M10" s="15">
        <v>0</v>
      </c>
      <c r="N10" s="15">
        <v>0</v>
      </c>
      <c r="O10" s="20">
        <v>0</v>
      </c>
      <c r="P10" s="20">
        <v>0</v>
      </c>
      <c r="Q10" s="20">
        <v>0</v>
      </c>
      <c r="R10" s="20">
        <v>1</v>
      </c>
      <c r="S10" s="20">
        <v>0</v>
      </c>
      <c r="T10" s="20">
        <v>1</v>
      </c>
      <c r="U10" s="20">
        <v>0</v>
      </c>
      <c r="V10" s="20">
        <v>1</v>
      </c>
      <c r="W10" s="20">
        <v>0</v>
      </c>
      <c r="X10" s="20">
        <v>0</v>
      </c>
      <c r="Y10" s="20">
        <v>1</v>
      </c>
      <c r="Z10" s="20">
        <v>0</v>
      </c>
      <c r="AA10" s="15">
        <v>0</v>
      </c>
      <c r="AB10" s="15">
        <v>0</v>
      </c>
      <c r="AC10" s="15">
        <v>0</v>
      </c>
      <c r="AD10" s="15">
        <v>0</v>
      </c>
      <c r="AE10" s="15">
        <v>0</v>
      </c>
      <c r="AF10" s="15">
        <v>1</v>
      </c>
      <c r="AG10" s="15">
        <v>0</v>
      </c>
      <c r="AH10" s="15">
        <v>0</v>
      </c>
      <c r="AI10" s="15">
        <v>0</v>
      </c>
      <c r="AJ10" s="15">
        <v>0</v>
      </c>
      <c r="AK10" s="15">
        <v>0</v>
      </c>
      <c r="AL10" s="15">
        <v>1</v>
      </c>
      <c r="AM10" s="20">
        <v>1</v>
      </c>
      <c r="AN10" s="20">
        <v>0</v>
      </c>
      <c r="AO10" s="20">
        <v>0</v>
      </c>
      <c r="AP10" s="20">
        <v>0</v>
      </c>
      <c r="AQ10" s="20">
        <v>0</v>
      </c>
      <c r="AR10" s="20">
        <v>0</v>
      </c>
      <c r="AS10" s="20">
        <v>0</v>
      </c>
      <c r="AT10" s="20">
        <v>0</v>
      </c>
      <c r="AU10" s="20">
        <v>0</v>
      </c>
      <c r="AV10" s="20">
        <v>0</v>
      </c>
      <c r="AW10" s="20">
        <v>0</v>
      </c>
      <c r="AX10" s="20">
        <v>0</v>
      </c>
    </row>
    <row r="11" spans="1:50" x14ac:dyDescent="0.3">
      <c r="A11" s="11">
        <v>2</v>
      </c>
      <c r="B11" s="11">
        <v>3</v>
      </c>
      <c r="C11" s="15">
        <v>0</v>
      </c>
      <c r="D11" s="15">
        <v>0</v>
      </c>
      <c r="E11" s="15">
        <v>0</v>
      </c>
      <c r="F11" s="15">
        <v>1</v>
      </c>
      <c r="G11" s="15">
        <v>0</v>
      </c>
      <c r="H11" s="15">
        <v>0</v>
      </c>
      <c r="I11" s="15">
        <v>1</v>
      </c>
      <c r="J11" s="15">
        <v>0</v>
      </c>
      <c r="K11" s="15">
        <v>0</v>
      </c>
      <c r="L11" s="15">
        <v>0</v>
      </c>
      <c r="M11" s="15">
        <v>0</v>
      </c>
      <c r="N11" s="15">
        <v>1</v>
      </c>
      <c r="O11" s="20">
        <v>0</v>
      </c>
      <c r="P11" s="20">
        <v>1</v>
      </c>
      <c r="Q11" s="20">
        <v>0</v>
      </c>
      <c r="R11" s="20">
        <v>0</v>
      </c>
      <c r="S11" s="20">
        <v>1</v>
      </c>
      <c r="T11" s="20">
        <v>0</v>
      </c>
      <c r="U11" s="20">
        <v>0</v>
      </c>
      <c r="V11" s="20">
        <v>1</v>
      </c>
      <c r="W11" s="20">
        <v>0</v>
      </c>
      <c r="X11" s="20">
        <v>0</v>
      </c>
      <c r="Y11" s="20">
        <v>0</v>
      </c>
      <c r="Z11" s="20">
        <v>1</v>
      </c>
      <c r="AA11" s="15">
        <v>0</v>
      </c>
      <c r="AB11" s="15">
        <v>0</v>
      </c>
      <c r="AC11" s="15">
        <v>0</v>
      </c>
      <c r="AD11" s="15">
        <v>0</v>
      </c>
      <c r="AE11" s="15">
        <v>0</v>
      </c>
      <c r="AF11" s="15">
        <v>1</v>
      </c>
      <c r="AG11" s="15">
        <v>0</v>
      </c>
      <c r="AH11" s="15">
        <v>0</v>
      </c>
      <c r="AI11" s="15">
        <v>0</v>
      </c>
      <c r="AJ11" s="15">
        <v>0</v>
      </c>
      <c r="AK11" s="15">
        <v>0</v>
      </c>
      <c r="AL11" s="15">
        <v>1</v>
      </c>
      <c r="AM11" s="20">
        <v>1</v>
      </c>
      <c r="AN11" s="20">
        <v>0</v>
      </c>
      <c r="AO11" s="20">
        <v>0</v>
      </c>
      <c r="AP11" s="20">
        <v>0</v>
      </c>
      <c r="AQ11" s="20">
        <v>0</v>
      </c>
      <c r="AR11" s="20">
        <v>0</v>
      </c>
      <c r="AS11" s="20">
        <v>0</v>
      </c>
      <c r="AT11" s="20">
        <v>0</v>
      </c>
      <c r="AU11" s="20">
        <v>0</v>
      </c>
      <c r="AV11" s="20">
        <v>0</v>
      </c>
      <c r="AW11" s="20">
        <v>0</v>
      </c>
      <c r="AX11" s="20">
        <v>0</v>
      </c>
    </row>
    <row r="12" spans="1:50" x14ac:dyDescent="0.3">
      <c r="A12" s="11">
        <v>2</v>
      </c>
      <c r="B12" s="11">
        <v>4</v>
      </c>
      <c r="C12" s="15">
        <v>0</v>
      </c>
      <c r="D12" s="15">
        <v>0</v>
      </c>
      <c r="E12" s="15">
        <v>0</v>
      </c>
      <c r="F12" s="15">
        <v>1</v>
      </c>
      <c r="G12" s="15">
        <v>1</v>
      </c>
      <c r="H12" s="15">
        <v>0</v>
      </c>
      <c r="I12" s="15">
        <v>0</v>
      </c>
      <c r="J12" s="15">
        <v>0</v>
      </c>
      <c r="K12" s="15">
        <v>1</v>
      </c>
      <c r="L12" s="15">
        <v>1</v>
      </c>
      <c r="M12" s="15">
        <v>0</v>
      </c>
      <c r="N12" s="15">
        <v>0</v>
      </c>
      <c r="O12" s="20">
        <v>0</v>
      </c>
      <c r="P12" s="20">
        <v>0</v>
      </c>
      <c r="Q12" s="20">
        <v>1</v>
      </c>
      <c r="R12" s="20">
        <v>0</v>
      </c>
      <c r="S12" s="20">
        <v>0</v>
      </c>
      <c r="T12" s="20">
        <v>1</v>
      </c>
      <c r="U12" s="20">
        <v>0</v>
      </c>
      <c r="V12" s="20">
        <v>0</v>
      </c>
      <c r="W12" s="20">
        <v>1</v>
      </c>
      <c r="X12" s="20">
        <v>0</v>
      </c>
      <c r="Y12" s="20">
        <v>0</v>
      </c>
      <c r="Z12" s="20">
        <v>0</v>
      </c>
      <c r="AA12" s="15">
        <v>0</v>
      </c>
      <c r="AB12" s="15">
        <v>0</v>
      </c>
      <c r="AC12" s="15">
        <v>0</v>
      </c>
      <c r="AD12" s="15">
        <v>0</v>
      </c>
      <c r="AE12" s="15">
        <v>0</v>
      </c>
      <c r="AF12" s="15">
        <v>0</v>
      </c>
      <c r="AG12" s="15">
        <v>0</v>
      </c>
      <c r="AH12" s="15">
        <v>0</v>
      </c>
      <c r="AI12" s="15">
        <v>1</v>
      </c>
      <c r="AJ12" s="15">
        <v>0</v>
      </c>
      <c r="AK12" s="15">
        <v>1</v>
      </c>
      <c r="AL12" s="15">
        <v>0</v>
      </c>
      <c r="AM12" s="20">
        <v>1</v>
      </c>
      <c r="AN12" s="20">
        <v>0</v>
      </c>
      <c r="AO12" s="20">
        <v>0</v>
      </c>
      <c r="AP12" s="20">
        <v>0</v>
      </c>
      <c r="AQ12" s="20">
        <v>0</v>
      </c>
      <c r="AR12" s="20">
        <v>0</v>
      </c>
      <c r="AS12" s="20">
        <v>0</v>
      </c>
      <c r="AT12" s="20">
        <v>0</v>
      </c>
      <c r="AU12" s="20">
        <v>0</v>
      </c>
      <c r="AV12" s="20">
        <v>0</v>
      </c>
      <c r="AW12" s="20">
        <v>0</v>
      </c>
      <c r="AX12" s="20">
        <v>0</v>
      </c>
    </row>
    <row r="13" spans="1:50" x14ac:dyDescent="0.3">
      <c r="A13" s="11">
        <v>2</v>
      </c>
      <c r="B13" s="11">
        <v>5</v>
      </c>
      <c r="C13" s="15">
        <v>0</v>
      </c>
      <c r="D13" s="15">
        <v>0</v>
      </c>
      <c r="E13" s="15">
        <v>0</v>
      </c>
      <c r="F13" s="15">
        <v>1</v>
      </c>
      <c r="G13" s="15">
        <v>0</v>
      </c>
      <c r="H13" s="15">
        <v>1</v>
      </c>
      <c r="I13" s="15">
        <v>0</v>
      </c>
      <c r="J13" s="15">
        <v>1</v>
      </c>
      <c r="K13" s="15">
        <v>0</v>
      </c>
      <c r="L13" s="15">
        <v>0</v>
      </c>
      <c r="M13" s="15">
        <v>1</v>
      </c>
      <c r="N13" s="15">
        <v>0</v>
      </c>
      <c r="O13" s="20">
        <v>0</v>
      </c>
      <c r="P13" s="20">
        <v>0</v>
      </c>
      <c r="Q13" s="20">
        <v>1</v>
      </c>
      <c r="R13" s="20">
        <v>0</v>
      </c>
      <c r="S13" s="20">
        <v>1</v>
      </c>
      <c r="T13" s="20">
        <v>0</v>
      </c>
      <c r="U13" s="20">
        <v>0</v>
      </c>
      <c r="V13" s="20">
        <v>0</v>
      </c>
      <c r="W13" s="20">
        <v>0</v>
      </c>
      <c r="X13" s="20">
        <v>0</v>
      </c>
      <c r="Y13" s="20">
        <v>1</v>
      </c>
      <c r="Z13" s="20">
        <v>0</v>
      </c>
      <c r="AA13" s="15">
        <v>0</v>
      </c>
      <c r="AB13" s="15">
        <v>0</v>
      </c>
      <c r="AC13" s="15">
        <v>0</v>
      </c>
      <c r="AD13" s="15">
        <v>0</v>
      </c>
      <c r="AE13" s="15">
        <v>0</v>
      </c>
      <c r="AF13" s="15">
        <v>0</v>
      </c>
      <c r="AG13" s="15">
        <v>0</v>
      </c>
      <c r="AH13" s="15">
        <v>0</v>
      </c>
      <c r="AI13" s="15">
        <v>1</v>
      </c>
      <c r="AJ13" s="15">
        <v>0</v>
      </c>
      <c r="AK13" s="15">
        <v>1</v>
      </c>
      <c r="AL13" s="15">
        <v>0</v>
      </c>
      <c r="AM13" s="20">
        <v>1</v>
      </c>
      <c r="AN13" s="20">
        <v>0</v>
      </c>
      <c r="AO13" s="20">
        <v>0</v>
      </c>
      <c r="AP13" s="20">
        <v>0</v>
      </c>
      <c r="AQ13" s="20">
        <v>0</v>
      </c>
      <c r="AR13" s="20">
        <v>0</v>
      </c>
      <c r="AS13" s="20">
        <v>0</v>
      </c>
      <c r="AT13" s="20">
        <v>0</v>
      </c>
      <c r="AU13" s="20">
        <v>0</v>
      </c>
      <c r="AV13" s="20">
        <v>0</v>
      </c>
      <c r="AW13" s="20">
        <v>0</v>
      </c>
      <c r="AX13" s="20">
        <v>0</v>
      </c>
    </row>
    <row r="14" spans="1:50" x14ac:dyDescent="0.3">
      <c r="A14" s="11">
        <v>2</v>
      </c>
      <c r="B14" s="11">
        <v>6</v>
      </c>
      <c r="C14" s="15">
        <v>0</v>
      </c>
      <c r="D14" s="15">
        <v>1</v>
      </c>
      <c r="E14" s="15">
        <v>0</v>
      </c>
      <c r="F14" s="15">
        <v>0</v>
      </c>
      <c r="G14" s="15">
        <v>0</v>
      </c>
      <c r="H14" s="15">
        <v>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0</v>
      </c>
      <c r="O14" s="20">
        <v>0</v>
      </c>
      <c r="P14" s="20">
        <v>0</v>
      </c>
      <c r="Q14" s="20">
        <v>1</v>
      </c>
      <c r="R14" s="20">
        <v>0</v>
      </c>
      <c r="S14" s="20">
        <v>0</v>
      </c>
      <c r="T14" s="20">
        <v>0</v>
      </c>
      <c r="U14" s="20">
        <v>0</v>
      </c>
      <c r="V14" s="20">
        <v>1</v>
      </c>
      <c r="W14" s="20">
        <v>0</v>
      </c>
      <c r="X14" s="20">
        <v>1</v>
      </c>
      <c r="Y14" s="20">
        <v>0</v>
      </c>
      <c r="Z14" s="20">
        <v>0</v>
      </c>
      <c r="AA14" s="15">
        <v>0</v>
      </c>
      <c r="AB14" s="15">
        <v>0</v>
      </c>
      <c r="AC14" s="15">
        <v>0</v>
      </c>
      <c r="AD14" s="15">
        <v>1</v>
      </c>
      <c r="AE14" s="15">
        <v>0</v>
      </c>
      <c r="AF14" s="15">
        <v>0</v>
      </c>
      <c r="AG14" s="15">
        <v>1</v>
      </c>
      <c r="AH14" s="15">
        <v>0</v>
      </c>
      <c r="AI14" s="15">
        <v>0</v>
      </c>
      <c r="AJ14" s="15">
        <v>0</v>
      </c>
      <c r="AK14" s="15">
        <v>0</v>
      </c>
      <c r="AL14" s="15">
        <v>1</v>
      </c>
      <c r="AM14" s="20">
        <v>1</v>
      </c>
      <c r="AN14" s="20">
        <v>0</v>
      </c>
      <c r="AO14" s="20">
        <v>0</v>
      </c>
      <c r="AP14" s="20">
        <v>0</v>
      </c>
      <c r="AQ14" s="20">
        <v>0</v>
      </c>
      <c r="AR14" s="20">
        <v>0</v>
      </c>
      <c r="AS14" s="20">
        <v>0</v>
      </c>
      <c r="AT14" s="20">
        <v>0</v>
      </c>
      <c r="AU14" s="20">
        <v>0</v>
      </c>
      <c r="AV14" s="20">
        <v>0</v>
      </c>
      <c r="AW14" s="20">
        <v>0</v>
      </c>
      <c r="AX14" s="20">
        <v>0</v>
      </c>
    </row>
    <row r="15" spans="1:50" x14ac:dyDescent="0.3">
      <c r="A15" s="11">
        <v>3</v>
      </c>
      <c r="B15" s="11">
        <v>1</v>
      </c>
      <c r="C15" s="15">
        <v>0</v>
      </c>
      <c r="D15" s="15">
        <v>1</v>
      </c>
      <c r="E15" s="15">
        <v>0</v>
      </c>
      <c r="F15" s="15">
        <v>0</v>
      </c>
      <c r="G15" s="15">
        <v>1</v>
      </c>
      <c r="H15" s="15">
        <v>0</v>
      </c>
      <c r="I15" s="15">
        <v>0</v>
      </c>
      <c r="J15" s="15">
        <v>1</v>
      </c>
      <c r="K15" s="15">
        <v>0</v>
      </c>
      <c r="L15" s="15">
        <v>0</v>
      </c>
      <c r="M15" s="15">
        <v>0</v>
      </c>
      <c r="N15" s="15">
        <v>1</v>
      </c>
      <c r="O15" s="20">
        <v>0</v>
      </c>
      <c r="P15" s="20">
        <v>1</v>
      </c>
      <c r="Q15" s="20">
        <v>0</v>
      </c>
      <c r="R15" s="20">
        <v>0</v>
      </c>
      <c r="S15" s="20">
        <v>0</v>
      </c>
      <c r="T15" s="20">
        <v>1</v>
      </c>
      <c r="U15" s="20">
        <v>1</v>
      </c>
      <c r="V15" s="20">
        <v>0</v>
      </c>
      <c r="W15" s="20">
        <v>0</v>
      </c>
      <c r="X15" s="20">
        <v>1</v>
      </c>
      <c r="Y15" s="20">
        <v>0</v>
      </c>
      <c r="Z15" s="20">
        <v>0</v>
      </c>
      <c r="AA15" s="15">
        <v>0</v>
      </c>
      <c r="AB15" s="15">
        <v>1</v>
      </c>
      <c r="AC15" s="15">
        <v>0</v>
      </c>
      <c r="AD15" s="15">
        <v>0</v>
      </c>
      <c r="AE15" s="15">
        <v>0</v>
      </c>
      <c r="AF15" s="15">
        <v>0</v>
      </c>
      <c r="AG15" s="15">
        <v>0</v>
      </c>
      <c r="AH15" s="15">
        <v>0</v>
      </c>
      <c r="AI15" s="15">
        <v>0</v>
      </c>
      <c r="AJ15" s="15">
        <v>0</v>
      </c>
      <c r="AK15" s="15">
        <v>0</v>
      </c>
      <c r="AL15" s="15">
        <v>0</v>
      </c>
      <c r="AM15" s="20">
        <v>1</v>
      </c>
      <c r="AN15" s="20">
        <v>0</v>
      </c>
      <c r="AO15" s="20">
        <v>0</v>
      </c>
      <c r="AP15" s="20">
        <v>0</v>
      </c>
      <c r="AQ15" s="20">
        <v>0</v>
      </c>
      <c r="AR15" s="20">
        <v>0</v>
      </c>
      <c r="AS15" s="20">
        <v>0</v>
      </c>
      <c r="AT15" s="20">
        <v>0</v>
      </c>
      <c r="AU15" s="20">
        <v>0</v>
      </c>
      <c r="AV15" s="20">
        <v>0</v>
      </c>
      <c r="AW15" s="20">
        <v>0</v>
      </c>
      <c r="AX15" s="20">
        <v>0</v>
      </c>
    </row>
    <row r="16" spans="1:50" x14ac:dyDescent="0.3">
      <c r="A16" s="11">
        <v>3</v>
      </c>
      <c r="B16" s="11">
        <v>2</v>
      </c>
      <c r="C16" s="15">
        <v>0</v>
      </c>
      <c r="D16" s="15">
        <v>0</v>
      </c>
      <c r="E16" s="15">
        <v>1</v>
      </c>
      <c r="F16" s="15">
        <v>0</v>
      </c>
      <c r="G16" s="15">
        <v>0</v>
      </c>
      <c r="H16" s="15">
        <v>1</v>
      </c>
      <c r="I16" s="15">
        <v>0</v>
      </c>
      <c r="J16" s="15">
        <v>0</v>
      </c>
      <c r="K16" s="15">
        <v>1</v>
      </c>
      <c r="L16" s="15">
        <v>0</v>
      </c>
      <c r="M16" s="15">
        <v>0</v>
      </c>
      <c r="N16" s="15">
        <v>0</v>
      </c>
      <c r="O16" s="20">
        <v>0</v>
      </c>
      <c r="P16" s="20">
        <v>0</v>
      </c>
      <c r="Q16" s="20">
        <v>0</v>
      </c>
      <c r="R16" s="20">
        <v>1</v>
      </c>
      <c r="S16" s="20">
        <v>0</v>
      </c>
      <c r="T16" s="20">
        <v>1</v>
      </c>
      <c r="U16" s="20">
        <v>0</v>
      </c>
      <c r="V16" s="20">
        <v>1</v>
      </c>
      <c r="W16" s="20">
        <v>0</v>
      </c>
      <c r="X16" s="20">
        <v>0</v>
      </c>
      <c r="Y16" s="20">
        <v>1</v>
      </c>
      <c r="Z16" s="20">
        <v>0</v>
      </c>
      <c r="AA16" s="15">
        <v>0</v>
      </c>
      <c r="AB16" s="15">
        <v>0</v>
      </c>
      <c r="AC16" s="15">
        <v>0</v>
      </c>
      <c r="AD16" s="15">
        <v>0</v>
      </c>
      <c r="AE16" s="15">
        <v>0</v>
      </c>
      <c r="AF16" s="15">
        <v>1</v>
      </c>
      <c r="AG16" s="15">
        <v>0</v>
      </c>
      <c r="AH16" s="15">
        <v>0</v>
      </c>
      <c r="AI16" s="15">
        <v>0</v>
      </c>
      <c r="AJ16" s="15">
        <v>0</v>
      </c>
      <c r="AK16" s="15">
        <v>0</v>
      </c>
      <c r="AL16" s="15">
        <v>1</v>
      </c>
      <c r="AM16" s="20">
        <v>1</v>
      </c>
      <c r="AN16" s="20">
        <v>0</v>
      </c>
      <c r="AO16" s="20">
        <v>0</v>
      </c>
      <c r="AP16" s="20">
        <v>0</v>
      </c>
      <c r="AQ16" s="20">
        <v>0</v>
      </c>
      <c r="AR16" s="20">
        <v>0</v>
      </c>
      <c r="AS16" s="20">
        <v>0</v>
      </c>
      <c r="AT16" s="20">
        <v>0</v>
      </c>
      <c r="AU16" s="20">
        <v>0</v>
      </c>
      <c r="AV16" s="20">
        <v>0</v>
      </c>
      <c r="AW16" s="20">
        <v>0</v>
      </c>
      <c r="AX16" s="20">
        <v>0</v>
      </c>
    </row>
    <row r="17" spans="1:50" x14ac:dyDescent="0.3">
      <c r="A17" s="11">
        <v>3</v>
      </c>
      <c r="B17" s="11">
        <v>3</v>
      </c>
      <c r="C17" s="15">
        <v>0</v>
      </c>
      <c r="D17" s="15">
        <v>0</v>
      </c>
      <c r="E17" s="15">
        <v>0</v>
      </c>
      <c r="F17" s="15">
        <v>1</v>
      </c>
      <c r="G17" s="15">
        <v>0</v>
      </c>
      <c r="H17" s="15">
        <v>0</v>
      </c>
      <c r="I17" s="15">
        <v>1</v>
      </c>
      <c r="J17" s="15">
        <v>0</v>
      </c>
      <c r="K17" s="15">
        <v>0</v>
      </c>
      <c r="L17" s="15">
        <v>0</v>
      </c>
      <c r="M17" s="15">
        <v>0</v>
      </c>
      <c r="N17" s="15">
        <v>1</v>
      </c>
      <c r="O17" s="20">
        <v>0</v>
      </c>
      <c r="P17" s="20">
        <v>1</v>
      </c>
      <c r="Q17" s="20">
        <v>0</v>
      </c>
      <c r="R17" s="20">
        <v>0</v>
      </c>
      <c r="S17" s="20">
        <v>1</v>
      </c>
      <c r="T17" s="20">
        <v>0</v>
      </c>
      <c r="U17" s="20">
        <v>0</v>
      </c>
      <c r="V17" s="20">
        <v>1</v>
      </c>
      <c r="W17" s="20">
        <v>0</v>
      </c>
      <c r="X17" s="20">
        <v>0</v>
      </c>
      <c r="Y17" s="20">
        <v>0</v>
      </c>
      <c r="Z17" s="20">
        <v>1</v>
      </c>
      <c r="AA17" s="15">
        <v>0</v>
      </c>
      <c r="AB17" s="15">
        <v>0</v>
      </c>
      <c r="AC17" s="15">
        <v>0</v>
      </c>
      <c r="AD17" s="15">
        <v>0</v>
      </c>
      <c r="AE17" s="15">
        <v>0</v>
      </c>
      <c r="AF17" s="15">
        <v>1</v>
      </c>
      <c r="AG17" s="15">
        <v>0</v>
      </c>
      <c r="AH17" s="15">
        <v>0</v>
      </c>
      <c r="AI17" s="15">
        <v>0</v>
      </c>
      <c r="AJ17" s="15">
        <v>0</v>
      </c>
      <c r="AK17" s="15">
        <v>0</v>
      </c>
      <c r="AL17" s="15">
        <v>1</v>
      </c>
      <c r="AM17" s="20">
        <v>1</v>
      </c>
      <c r="AN17" s="20">
        <v>0</v>
      </c>
      <c r="AO17" s="20">
        <v>0</v>
      </c>
      <c r="AP17" s="20">
        <v>0</v>
      </c>
      <c r="AQ17" s="20">
        <v>0</v>
      </c>
      <c r="AR17" s="20">
        <v>0</v>
      </c>
      <c r="AS17" s="20">
        <v>0</v>
      </c>
      <c r="AT17" s="20">
        <v>0</v>
      </c>
      <c r="AU17" s="20">
        <v>0</v>
      </c>
      <c r="AV17" s="20">
        <v>0</v>
      </c>
      <c r="AW17" s="20">
        <v>0</v>
      </c>
      <c r="AX17" s="20">
        <v>0</v>
      </c>
    </row>
    <row r="18" spans="1:50" x14ac:dyDescent="0.3">
      <c r="A18" s="11">
        <v>3</v>
      </c>
      <c r="B18" s="11">
        <v>4</v>
      </c>
      <c r="C18" s="15">
        <v>0</v>
      </c>
      <c r="D18" s="15">
        <v>0</v>
      </c>
      <c r="E18" s="15">
        <v>0</v>
      </c>
      <c r="F18" s="15">
        <v>1</v>
      </c>
      <c r="G18" s="15">
        <v>1</v>
      </c>
      <c r="H18" s="15">
        <v>0</v>
      </c>
      <c r="I18" s="15">
        <v>0</v>
      </c>
      <c r="J18" s="15">
        <v>0</v>
      </c>
      <c r="K18" s="15">
        <v>1</v>
      </c>
      <c r="L18" s="15">
        <v>1</v>
      </c>
      <c r="M18" s="15">
        <v>0</v>
      </c>
      <c r="N18" s="15">
        <v>0</v>
      </c>
      <c r="O18" s="20">
        <v>0</v>
      </c>
      <c r="P18" s="20">
        <v>0</v>
      </c>
      <c r="Q18" s="20">
        <v>1</v>
      </c>
      <c r="R18" s="20">
        <v>0</v>
      </c>
      <c r="S18" s="20">
        <v>0</v>
      </c>
      <c r="T18" s="20">
        <v>1</v>
      </c>
      <c r="U18" s="20">
        <v>0</v>
      </c>
      <c r="V18" s="20">
        <v>0</v>
      </c>
      <c r="W18" s="20">
        <v>1</v>
      </c>
      <c r="X18" s="20">
        <v>0</v>
      </c>
      <c r="Y18" s="20">
        <v>0</v>
      </c>
      <c r="Z18" s="20">
        <v>0</v>
      </c>
      <c r="AA18" s="15">
        <v>0</v>
      </c>
      <c r="AB18" s="15">
        <v>0</v>
      </c>
      <c r="AC18" s="15">
        <v>0</v>
      </c>
      <c r="AD18" s="15">
        <v>0</v>
      </c>
      <c r="AE18" s="15">
        <v>0</v>
      </c>
      <c r="AF18" s="15">
        <v>0</v>
      </c>
      <c r="AG18" s="15">
        <v>0</v>
      </c>
      <c r="AH18" s="15">
        <v>0</v>
      </c>
      <c r="AI18" s="15">
        <v>1</v>
      </c>
      <c r="AJ18" s="15">
        <v>0</v>
      </c>
      <c r="AK18" s="15">
        <v>1</v>
      </c>
      <c r="AL18" s="15">
        <v>0</v>
      </c>
      <c r="AM18" s="20">
        <v>1</v>
      </c>
      <c r="AN18" s="20">
        <v>0</v>
      </c>
      <c r="AO18" s="20">
        <v>0</v>
      </c>
      <c r="AP18" s="20">
        <v>0</v>
      </c>
      <c r="AQ18" s="20">
        <v>0</v>
      </c>
      <c r="AR18" s="20">
        <v>0</v>
      </c>
      <c r="AS18" s="20">
        <v>0</v>
      </c>
      <c r="AT18" s="20">
        <v>0</v>
      </c>
      <c r="AU18" s="20">
        <v>0</v>
      </c>
      <c r="AV18" s="20">
        <v>0</v>
      </c>
      <c r="AW18" s="20">
        <v>0</v>
      </c>
      <c r="AX18" s="20">
        <v>0</v>
      </c>
    </row>
    <row r="19" spans="1:50" x14ac:dyDescent="0.3">
      <c r="A19" s="11">
        <v>3</v>
      </c>
      <c r="B19" s="11">
        <v>5</v>
      </c>
      <c r="C19" s="15">
        <v>0</v>
      </c>
      <c r="D19" s="15">
        <v>0</v>
      </c>
      <c r="E19" s="15">
        <v>0</v>
      </c>
      <c r="F19" s="15">
        <v>1</v>
      </c>
      <c r="G19" s="15">
        <v>0</v>
      </c>
      <c r="H19" s="15">
        <v>1</v>
      </c>
      <c r="I19" s="15">
        <v>0</v>
      </c>
      <c r="J19" s="15">
        <v>1</v>
      </c>
      <c r="K19" s="15">
        <v>0</v>
      </c>
      <c r="L19" s="15">
        <v>0</v>
      </c>
      <c r="M19" s="15">
        <v>1</v>
      </c>
      <c r="N19" s="15">
        <v>0</v>
      </c>
      <c r="O19" s="20">
        <v>0</v>
      </c>
      <c r="P19" s="20">
        <v>0</v>
      </c>
      <c r="Q19" s="20">
        <v>1</v>
      </c>
      <c r="R19" s="20">
        <v>0</v>
      </c>
      <c r="S19" s="20">
        <v>1</v>
      </c>
      <c r="T19" s="20">
        <v>0</v>
      </c>
      <c r="U19" s="20">
        <v>0</v>
      </c>
      <c r="V19" s="20">
        <v>0</v>
      </c>
      <c r="W19" s="20">
        <v>0</v>
      </c>
      <c r="X19" s="20">
        <v>0</v>
      </c>
      <c r="Y19" s="20">
        <v>1</v>
      </c>
      <c r="Z19" s="20">
        <v>0</v>
      </c>
      <c r="AA19" s="15">
        <v>0</v>
      </c>
      <c r="AB19" s="15">
        <v>0</v>
      </c>
      <c r="AC19" s="15">
        <v>0</v>
      </c>
      <c r="AD19" s="15">
        <v>0</v>
      </c>
      <c r="AE19" s="15">
        <v>0</v>
      </c>
      <c r="AF19" s="15">
        <v>0</v>
      </c>
      <c r="AG19" s="15">
        <v>0</v>
      </c>
      <c r="AH19" s="15">
        <v>0</v>
      </c>
      <c r="AI19" s="15">
        <v>1</v>
      </c>
      <c r="AJ19" s="15">
        <v>0</v>
      </c>
      <c r="AK19" s="15">
        <v>1</v>
      </c>
      <c r="AL19" s="15">
        <v>0</v>
      </c>
      <c r="AM19" s="20">
        <v>1</v>
      </c>
      <c r="AN19" s="20">
        <v>0</v>
      </c>
      <c r="AO19" s="20">
        <v>0</v>
      </c>
      <c r="AP19" s="20">
        <v>0</v>
      </c>
      <c r="AQ19" s="20">
        <v>0</v>
      </c>
      <c r="AR19" s="20">
        <v>0</v>
      </c>
      <c r="AS19" s="20">
        <v>0</v>
      </c>
      <c r="AT19" s="20">
        <v>0</v>
      </c>
      <c r="AU19" s="20">
        <v>0</v>
      </c>
      <c r="AV19" s="20">
        <v>0</v>
      </c>
      <c r="AW19" s="20">
        <v>0</v>
      </c>
      <c r="AX19" s="20">
        <v>0</v>
      </c>
    </row>
    <row r="20" spans="1:50" x14ac:dyDescent="0.3">
      <c r="A20" s="11">
        <v>3</v>
      </c>
      <c r="B20" s="11">
        <v>6</v>
      </c>
      <c r="C20" s="15">
        <v>0</v>
      </c>
      <c r="D20" s="15">
        <v>1</v>
      </c>
      <c r="E20" s="15">
        <v>0</v>
      </c>
      <c r="F20" s="15">
        <v>0</v>
      </c>
      <c r="G20" s="15">
        <v>0</v>
      </c>
      <c r="H20" s="15">
        <v>0</v>
      </c>
      <c r="I20" s="15">
        <v>0</v>
      </c>
      <c r="J20" s="15">
        <v>0</v>
      </c>
      <c r="K20" s="15">
        <v>0</v>
      </c>
      <c r="L20" s="15">
        <v>0</v>
      </c>
      <c r="M20" s="15">
        <v>0</v>
      </c>
      <c r="N20" s="15">
        <v>0</v>
      </c>
      <c r="O20" s="20">
        <v>0</v>
      </c>
      <c r="P20" s="20">
        <v>0</v>
      </c>
      <c r="Q20" s="20">
        <v>1</v>
      </c>
      <c r="R20" s="20">
        <v>0</v>
      </c>
      <c r="S20" s="20">
        <v>0</v>
      </c>
      <c r="T20" s="20">
        <v>0</v>
      </c>
      <c r="U20" s="20">
        <v>0</v>
      </c>
      <c r="V20" s="20">
        <v>1</v>
      </c>
      <c r="W20" s="20">
        <v>0</v>
      </c>
      <c r="X20" s="20">
        <v>1</v>
      </c>
      <c r="Y20" s="20">
        <v>0</v>
      </c>
      <c r="Z20" s="20">
        <v>0</v>
      </c>
      <c r="AA20" s="15">
        <v>0</v>
      </c>
      <c r="AB20" s="15">
        <v>0</v>
      </c>
      <c r="AC20" s="15">
        <v>0</v>
      </c>
      <c r="AD20" s="15">
        <v>1</v>
      </c>
      <c r="AE20" s="15">
        <v>0</v>
      </c>
      <c r="AF20" s="15">
        <v>0</v>
      </c>
      <c r="AG20" s="15">
        <v>1</v>
      </c>
      <c r="AH20" s="15">
        <v>0</v>
      </c>
      <c r="AI20" s="15">
        <v>0</v>
      </c>
      <c r="AJ20" s="15">
        <v>0</v>
      </c>
      <c r="AK20" s="15">
        <v>0</v>
      </c>
      <c r="AL20" s="15">
        <v>1</v>
      </c>
      <c r="AM20" s="20">
        <v>1</v>
      </c>
      <c r="AN20" s="20">
        <v>0</v>
      </c>
      <c r="AO20" s="20">
        <v>0</v>
      </c>
      <c r="AP20" s="20">
        <v>0</v>
      </c>
      <c r="AQ20" s="20">
        <v>0</v>
      </c>
      <c r="AR20" s="20">
        <v>0</v>
      </c>
      <c r="AS20" s="20">
        <v>0</v>
      </c>
      <c r="AT20" s="20">
        <v>0</v>
      </c>
      <c r="AU20" s="20">
        <v>0</v>
      </c>
      <c r="AV20" s="20">
        <v>0</v>
      </c>
      <c r="AW20" s="20">
        <v>0</v>
      </c>
      <c r="AX20" s="20">
        <v>0</v>
      </c>
    </row>
    <row r="21" spans="1:50" x14ac:dyDescent="0.3">
      <c r="A21" s="11">
        <v>4</v>
      </c>
      <c r="B21" s="11">
        <v>1</v>
      </c>
      <c r="C21" s="15">
        <v>0</v>
      </c>
      <c r="D21" s="15">
        <v>1</v>
      </c>
      <c r="E21" s="15">
        <v>0</v>
      </c>
      <c r="F21" s="15">
        <v>0</v>
      </c>
      <c r="G21" s="15">
        <v>1</v>
      </c>
      <c r="H21" s="15">
        <v>0</v>
      </c>
      <c r="I21" s="15">
        <v>0</v>
      </c>
      <c r="J21" s="15">
        <v>1</v>
      </c>
      <c r="K21" s="15">
        <v>0</v>
      </c>
      <c r="L21" s="15">
        <v>0</v>
      </c>
      <c r="M21" s="15">
        <v>0</v>
      </c>
      <c r="N21" s="15">
        <v>1</v>
      </c>
      <c r="O21" s="20">
        <v>0</v>
      </c>
      <c r="P21" s="20">
        <v>1</v>
      </c>
      <c r="Q21" s="20">
        <v>0</v>
      </c>
      <c r="R21" s="20">
        <v>0</v>
      </c>
      <c r="S21" s="20">
        <v>0</v>
      </c>
      <c r="T21" s="20">
        <v>1</v>
      </c>
      <c r="U21" s="20">
        <v>1</v>
      </c>
      <c r="V21" s="20">
        <v>0</v>
      </c>
      <c r="W21" s="20">
        <v>0</v>
      </c>
      <c r="X21" s="20">
        <v>1</v>
      </c>
      <c r="Y21" s="20">
        <v>0</v>
      </c>
      <c r="Z21" s="20">
        <v>0</v>
      </c>
      <c r="AA21" s="15">
        <v>0</v>
      </c>
      <c r="AB21" s="15">
        <v>1</v>
      </c>
      <c r="AC21" s="15">
        <v>0</v>
      </c>
      <c r="AD21" s="15">
        <v>0</v>
      </c>
      <c r="AE21" s="15">
        <v>0</v>
      </c>
      <c r="AF21" s="15">
        <v>0</v>
      </c>
      <c r="AG21" s="15">
        <v>0</v>
      </c>
      <c r="AH21" s="15">
        <v>0</v>
      </c>
      <c r="AI21" s="15">
        <v>0</v>
      </c>
      <c r="AJ21" s="15">
        <v>0</v>
      </c>
      <c r="AK21" s="15">
        <v>0</v>
      </c>
      <c r="AL21" s="15">
        <v>0</v>
      </c>
      <c r="AM21" s="20">
        <v>1</v>
      </c>
      <c r="AN21" s="20">
        <v>0</v>
      </c>
      <c r="AO21" s="20">
        <v>0</v>
      </c>
      <c r="AP21" s="20">
        <v>0</v>
      </c>
      <c r="AQ21" s="20">
        <v>0</v>
      </c>
      <c r="AR21" s="20">
        <v>0</v>
      </c>
      <c r="AS21" s="20">
        <v>0</v>
      </c>
      <c r="AT21" s="20">
        <v>0</v>
      </c>
      <c r="AU21" s="20">
        <v>0</v>
      </c>
      <c r="AV21" s="20">
        <v>0</v>
      </c>
      <c r="AW21" s="20">
        <v>0</v>
      </c>
      <c r="AX21" s="20">
        <v>0</v>
      </c>
    </row>
    <row r="22" spans="1:50" x14ac:dyDescent="0.3">
      <c r="A22" s="11">
        <v>4</v>
      </c>
      <c r="B22" s="11">
        <v>2</v>
      </c>
      <c r="C22" s="15">
        <v>0</v>
      </c>
      <c r="D22" s="15">
        <v>0</v>
      </c>
      <c r="E22" s="15">
        <v>1</v>
      </c>
      <c r="F22" s="15">
        <v>0</v>
      </c>
      <c r="G22" s="15">
        <v>0</v>
      </c>
      <c r="H22" s="15">
        <v>1</v>
      </c>
      <c r="I22" s="15">
        <v>0</v>
      </c>
      <c r="J22" s="15">
        <v>0</v>
      </c>
      <c r="K22" s="15">
        <v>1</v>
      </c>
      <c r="L22" s="15">
        <v>0</v>
      </c>
      <c r="M22" s="15">
        <v>0</v>
      </c>
      <c r="N22" s="15">
        <v>0</v>
      </c>
      <c r="O22" s="20">
        <v>0</v>
      </c>
      <c r="P22" s="20">
        <v>0</v>
      </c>
      <c r="Q22" s="20">
        <v>0</v>
      </c>
      <c r="R22" s="20">
        <v>1</v>
      </c>
      <c r="S22" s="20">
        <v>0</v>
      </c>
      <c r="T22" s="20">
        <v>1</v>
      </c>
      <c r="U22" s="20">
        <v>0</v>
      </c>
      <c r="V22" s="20">
        <v>1</v>
      </c>
      <c r="W22" s="20">
        <v>0</v>
      </c>
      <c r="X22" s="20">
        <v>0</v>
      </c>
      <c r="Y22" s="20">
        <v>1</v>
      </c>
      <c r="Z22" s="20">
        <v>0</v>
      </c>
      <c r="AA22" s="15">
        <v>0</v>
      </c>
      <c r="AB22" s="15">
        <v>0</v>
      </c>
      <c r="AC22" s="15">
        <v>0</v>
      </c>
      <c r="AD22" s="15">
        <v>0</v>
      </c>
      <c r="AE22" s="15">
        <v>0</v>
      </c>
      <c r="AF22" s="15">
        <v>1</v>
      </c>
      <c r="AG22" s="15">
        <v>0</v>
      </c>
      <c r="AH22" s="15">
        <v>0</v>
      </c>
      <c r="AI22" s="15">
        <v>0</v>
      </c>
      <c r="AJ22" s="15">
        <v>0</v>
      </c>
      <c r="AK22" s="15">
        <v>0</v>
      </c>
      <c r="AL22" s="15">
        <v>1</v>
      </c>
      <c r="AM22" s="20">
        <v>1</v>
      </c>
      <c r="AN22" s="20">
        <v>0</v>
      </c>
      <c r="AO22" s="20">
        <v>0</v>
      </c>
      <c r="AP22" s="20">
        <v>0</v>
      </c>
      <c r="AQ22" s="20">
        <v>0</v>
      </c>
      <c r="AR22" s="20">
        <v>0</v>
      </c>
      <c r="AS22" s="20">
        <v>0</v>
      </c>
      <c r="AT22" s="20">
        <v>0</v>
      </c>
      <c r="AU22" s="20">
        <v>0</v>
      </c>
      <c r="AV22" s="20">
        <v>0</v>
      </c>
      <c r="AW22" s="20">
        <v>0</v>
      </c>
      <c r="AX22" s="20">
        <v>0</v>
      </c>
    </row>
    <row r="23" spans="1:50" x14ac:dyDescent="0.3">
      <c r="A23" s="11">
        <v>4</v>
      </c>
      <c r="B23" s="11">
        <v>3</v>
      </c>
      <c r="C23" s="15">
        <v>0</v>
      </c>
      <c r="D23" s="15">
        <v>0</v>
      </c>
      <c r="E23" s="15">
        <v>0</v>
      </c>
      <c r="F23" s="15">
        <v>1</v>
      </c>
      <c r="G23" s="15">
        <v>0</v>
      </c>
      <c r="H23" s="15">
        <v>0</v>
      </c>
      <c r="I23" s="15">
        <v>1</v>
      </c>
      <c r="J23" s="15">
        <v>0</v>
      </c>
      <c r="K23" s="15">
        <v>0</v>
      </c>
      <c r="L23" s="15">
        <v>0</v>
      </c>
      <c r="M23" s="15">
        <v>0</v>
      </c>
      <c r="N23" s="15">
        <v>1</v>
      </c>
      <c r="O23" s="20">
        <v>0</v>
      </c>
      <c r="P23" s="20">
        <v>1</v>
      </c>
      <c r="Q23" s="20">
        <v>0</v>
      </c>
      <c r="R23" s="20">
        <v>0</v>
      </c>
      <c r="S23" s="20">
        <v>1</v>
      </c>
      <c r="T23" s="20">
        <v>0</v>
      </c>
      <c r="U23" s="20">
        <v>0</v>
      </c>
      <c r="V23" s="20">
        <v>1</v>
      </c>
      <c r="W23" s="20">
        <v>0</v>
      </c>
      <c r="X23" s="20">
        <v>0</v>
      </c>
      <c r="Y23" s="20">
        <v>0</v>
      </c>
      <c r="Z23" s="20">
        <v>1</v>
      </c>
      <c r="AA23" s="15">
        <v>0</v>
      </c>
      <c r="AB23" s="15">
        <v>0</v>
      </c>
      <c r="AC23" s="15">
        <v>0</v>
      </c>
      <c r="AD23" s="15">
        <v>0</v>
      </c>
      <c r="AE23" s="15">
        <v>0</v>
      </c>
      <c r="AF23" s="15">
        <v>1</v>
      </c>
      <c r="AG23" s="15">
        <v>0</v>
      </c>
      <c r="AH23" s="15">
        <v>0</v>
      </c>
      <c r="AI23" s="15">
        <v>0</v>
      </c>
      <c r="AJ23" s="15">
        <v>0</v>
      </c>
      <c r="AK23" s="15">
        <v>0</v>
      </c>
      <c r="AL23" s="15">
        <v>1</v>
      </c>
      <c r="AM23" s="20">
        <v>1</v>
      </c>
      <c r="AN23" s="20">
        <v>0</v>
      </c>
      <c r="AO23" s="20">
        <v>0</v>
      </c>
      <c r="AP23" s="20">
        <v>0</v>
      </c>
      <c r="AQ23" s="20">
        <v>0</v>
      </c>
      <c r="AR23" s="20">
        <v>0</v>
      </c>
      <c r="AS23" s="20">
        <v>0</v>
      </c>
      <c r="AT23" s="20">
        <v>0</v>
      </c>
      <c r="AU23" s="20">
        <v>0</v>
      </c>
      <c r="AV23" s="20">
        <v>0</v>
      </c>
      <c r="AW23" s="20">
        <v>0</v>
      </c>
      <c r="AX23" s="20">
        <v>0</v>
      </c>
    </row>
    <row r="24" spans="1:50" x14ac:dyDescent="0.3">
      <c r="A24" s="11">
        <v>4</v>
      </c>
      <c r="B24" s="11">
        <v>4</v>
      </c>
      <c r="C24" s="15">
        <v>0</v>
      </c>
      <c r="D24" s="15">
        <v>0</v>
      </c>
      <c r="E24" s="15">
        <v>0</v>
      </c>
      <c r="F24" s="15">
        <v>1</v>
      </c>
      <c r="G24" s="15">
        <v>1</v>
      </c>
      <c r="H24" s="15">
        <v>0</v>
      </c>
      <c r="I24" s="15">
        <v>0</v>
      </c>
      <c r="J24" s="15">
        <v>0</v>
      </c>
      <c r="K24" s="15">
        <v>1</v>
      </c>
      <c r="L24" s="15">
        <v>1</v>
      </c>
      <c r="M24" s="15">
        <v>0</v>
      </c>
      <c r="N24" s="15">
        <v>0</v>
      </c>
      <c r="O24" s="20">
        <v>0</v>
      </c>
      <c r="P24" s="20">
        <v>0</v>
      </c>
      <c r="Q24" s="20">
        <v>1</v>
      </c>
      <c r="R24" s="20">
        <v>0</v>
      </c>
      <c r="S24" s="20">
        <v>0</v>
      </c>
      <c r="T24" s="20">
        <v>1</v>
      </c>
      <c r="U24" s="20">
        <v>0</v>
      </c>
      <c r="V24" s="20">
        <v>0</v>
      </c>
      <c r="W24" s="20">
        <v>1</v>
      </c>
      <c r="X24" s="20">
        <v>0</v>
      </c>
      <c r="Y24" s="20">
        <v>0</v>
      </c>
      <c r="Z24" s="20">
        <v>0</v>
      </c>
      <c r="AA24" s="15">
        <v>0</v>
      </c>
      <c r="AB24" s="15">
        <v>0</v>
      </c>
      <c r="AC24" s="15">
        <v>0</v>
      </c>
      <c r="AD24" s="15">
        <v>0</v>
      </c>
      <c r="AE24" s="15">
        <v>0</v>
      </c>
      <c r="AF24" s="15">
        <v>0</v>
      </c>
      <c r="AG24" s="15">
        <v>0</v>
      </c>
      <c r="AH24" s="15">
        <v>0</v>
      </c>
      <c r="AI24" s="15">
        <v>1</v>
      </c>
      <c r="AJ24" s="15">
        <v>0</v>
      </c>
      <c r="AK24" s="15">
        <v>1</v>
      </c>
      <c r="AL24" s="15">
        <v>0</v>
      </c>
      <c r="AM24" s="20">
        <v>1</v>
      </c>
      <c r="AN24" s="20">
        <v>0</v>
      </c>
      <c r="AO24" s="20">
        <v>0</v>
      </c>
      <c r="AP24" s="20">
        <v>0</v>
      </c>
      <c r="AQ24" s="20">
        <v>0</v>
      </c>
      <c r="AR24" s="20">
        <v>0</v>
      </c>
      <c r="AS24" s="20">
        <v>0</v>
      </c>
      <c r="AT24" s="20">
        <v>0</v>
      </c>
      <c r="AU24" s="20">
        <v>0</v>
      </c>
      <c r="AV24" s="20">
        <v>0</v>
      </c>
      <c r="AW24" s="20">
        <v>0</v>
      </c>
      <c r="AX24" s="20">
        <v>0</v>
      </c>
    </row>
    <row r="25" spans="1:50" x14ac:dyDescent="0.3">
      <c r="A25" s="11">
        <v>4</v>
      </c>
      <c r="B25" s="11">
        <v>5</v>
      </c>
      <c r="C25" s="15">
        <v>0</v>
      </c>
      <c r="D25" s="15">
        <v>0</v>
      </c>
      <c r="E25" s="15">
        <v>0</v>
      </c>
      <c r="F25" s="15">
        <v>1</v>
      </c>
      <c r="G25" s="15">
        <v>0</v>
      </c>
      <c r="H25" s="15">
        <v>1</v>
      </c>
      <c r="I25" s="15">
        <v>0</v>
      </c>
      <c r="J25" s="15">
        <v>1</v>
      </c>
      <c r="K25" s="15">
        <v>0</v>
      </c>
      <c r="L25" s="15">
        <v>0</v>
      </c>
      <c r="M25" s="15">
        <v>1</v>
      </c>
      <c r="N25" s="15">
        <v>0</v>
      </c>
      <c r="O25" s="20">
        <v>0</v>
      </c>
      <c r="P25" s="20">
        <v>0</v>
      </c>
      <c r="Q25" s="20">
        <v>1</v>
      </c>
      <c r="R25" s="20">
        <v>0</v>
      </c>
      <c r="S25" s="20">
        <v>1</v>
      </c>
      <c r="T25" s="20">
        <v>0</v>
      </c>
      <c r="U25" s="20">
        <v>0</v>
      </c>
      <c r="V25" s="20">
        <v>0</v>
      </c>
      <c r="W25" s="20">
        <v>0</v>
      </c>
      <c r="X25" s="20">
        <v>0</v>
      </c>
      <c r="Y25" s="20">
        <v>1</v>
      </c>
      <c r="Z25" s="20">
        <v>0</v>
      </c>
      <c r="AA25" s="15">
        <v>0</v>
      </c>
      <c r="AB25" s="15">
        <v>0</v>
      </c>
      <c r="AC25" s="15">
        <v>0</v>
      </c>
      <c r="AD25" s="15">
        <v>0</v>
      </c>
      <c r="AE25" s="15">
        <v>0</v>
      </c>
      <c r="AF25" s="15">
        <v>0</v>
      </c>
      <c r="AG25" s="15">
        <v>0</v>
      </c>
      <c r="AH25" s="15">
        <v>0</v>
      </c>
      <c r="AI25" s="15">
        <v>1</v>
      </c>
      <c r="AJ25" s="15">
        <v>0</v>
      </c>
      <c r="AK25" s="15">
        <v>1</v>
      </c>
      <c r="AL25" s="15">
        <v>0</v>
      </c>
      <c r="AM25" s="20">
        <v>1</v>
      </c>
      <c r="AN25" s="20">
        <v>0</v>
      </c>
      <c r="AO25" s="20">
        <v>0</v>
      </c>
      <c r="AP25" s="20">
        <v>0</v>
      </c>
      <c r="AQ25" s="20">
        <v>0</v>
      </c>
      <c r="AR25" s="20">
        <v>0</v>
      </c>
      <c r="AS25" s="20">
        <v>0</v>
      </c>
      <c r="AT25" s="20">
        <v>0</v>
      </c>
      <c r="AU25" s="20">
        <v>0</v>
      </c>
      <c r="AV25" s="20">
        <v>0</v>
      </c>
      <c r="AW25" s="20">
        <v>0</v>
      </c>
      <c r="AX25" s="20">
        <v>0</v>
      </c>
    </row>
    <row r="26" spans="1:50" x14ac:dyDescent="0.3">
      <c r="A26" s="11">
        <v>4</v>
      </c>
      <c r="B26" s="11">
        <v>6</v>
      </c>
      <c r="C26" s="15">
        <v>0</v>
      </c>
      <c r="D26" s="15">
        <v>1</v>
      </c>
      <c r="E26" s="15">
        <v>0</v>
      </c>
      <c r="F26" s="15">
        <v>0</v>
      </c>
      <c r="G26" s="15">
        <v>0</v>
      </c>
      <c r="H26" s="15">
        <v>0</v>
      </c>
      <c r="I26" s="15">
        <v>0</v>
      </c>
      <c r="J26" s="15">
        <v>0</v>
      </c>
      <c r="K26" s="15">
        <v>0</v>
      </c>
      <c r="L26" s="15">
        <v>0</v>
      </c>
      <c r="M26" s="15">
        <v>0</v>
      </c>
      <c r="N26" s="15">
        <v>0</v>
      </c>
      <c r="O26" s="20">
        <v>0</v>
      </c>
      <c r="P26" s="20">
        <v>0</v>
      </c>
      <c r="Q26" s="20">
        <v>1</v>
      </c>
      <c r="R26" s="20">
        <v>0</v>
      </c>
      <c r="S26" s="20">
        <v>0</v>
      </c>
      <c r="T26" s="20">
        <v>0</v>
      </c>
      <c r="U26" s="20">
        <v>0</v>
      </c>
      <c r="V26" s="20">
        <v>1</v>
      </c>
      <c r="W26" s="20">
        <v>0</v>
      </c>
      <c r="X26" s="20">
        <v>1</v>
      </c>
      <c r="Y26" s="20">
        <v>0</v>
      </c>
      <c r="Z26" s="20">
        <v>0</v>
      </c>
      <c r="AA26" s="15">
        <v>0</v>
      </c>
      <c r="AB26" s="15">
        <v>0</v>
      </c>
      <c r="AC26" s="15">
        <v>0</v>
      </c>
      <c r="AD26" s="15">
        <v>1</v>
      </c>
      <c r="AE26" s="15">
        <v>0</v>
      </c>
      <c r="AF26" s="15">
        <v>0</v>
      </c>
      <c r="AG26" s="15">
        <v>1</v>
      </c>
      <c r="AH26" s="15">
        <v>0</v>
      </c>
      <c r="AI26" s="15">
        <v>0</v>
      </c>
      <c r="AJ26" s="15">
        <v>0</v>
      </c>
      <c r="AK26" s="15">
        <v>0</v>
      </c>
      <c r="AL26" s="15">
        <v>1</v>
      </c>
      <c r="AM26" s="20">
        <v>1</v>
      </c>
      <c r="AN26" s="20">
        <v>0</v>
      </c>
      <c r="AO26" s="20">
        <v>0</v>
      </c>
      <c r="AP26" s="20">
        <v>0</v>
      </c>
      <c r="AQ26" s="20">
        <v>0</v>
      </c>
      <c r="AR26" s="20">
        <v>0</v>
      </c>
      <c r="AS26" s="20">
        <v>0</v>
      </c>
      <c r="AT26" s="20">
        <v>0</v>
      </c>
      <c r="AU26" s="20">
        <v>0</v>
      </c>
      <c r="AV26" s="20">
        <v>0</v>
      </c>
      <c r="AW26" s="20">
        <v>0</v>
      </c>
      <c r="AX26" s="20">
        <v>0</v>
      </c>
    </row>
    <row r="27" spans="1:50" x14ac:dyDescent="0.3">
      <c r="A27" s="11">
        <v>5</v>
      </c>
      <c r="B27" s="11">
        <v>1</v>
      </c>
      <c r="C27" s="15">
        <v>0</v>
      </c>
      <c r="D27" s="15">
        <v>1</v>
      </c>
      <c r="E27" s="15">
        <v>0</v>
      </c>
      <c r="F27" s="15">
        <v>0</v>
      </c>
      <c r="G27" s="15">
        <v>1</v>
      </c>
      <c r="H27" s="15">
        <v>0</v>
      </c>
      <c r="I27" s="15">
        <v>0</v>
      </c>
      <c r="J27" s="15">
        <v>1</v>
      </c>
      <c r="K27" s="15">
        <v>0</v>
      </c>
      <c r="L27" s="15">
        <v>0</v>
      </c>
      <c r="M27" s="15">
        <v>0</v>
      </c>
      <c r="N27" s="15">
        <v>1</v>
      </c>
      <c r="O27" s="20">
        <v>0</v>
      </c>
      <c r="P27" s="20">
        <v>1</v>
      </c>
      <c r="Q27" s="20">
        <v>0</v>
      </c>
      <c r="R27" s="20">
        <v>0</v>
      </c>
      <c r="S27" s="20">
        <v>0</v>
      </c>
      <c r="T27" s="20">
        <v>1</v>
      </c>
      <c r="U27" s="20">
        <v>1</v>
      </c>
      <c r="V27" s="20">
        <v>0</v>
      </c>
      <c r="W27" s="20">
        <v>0</v>
      </c>
      <c r="X27" s="20">
        <v>1</v>
      </c>
      <c r="Y27" s="20">
        <v>0</v>
      </c>
      <c r="Z27" s="20">
        <v>0</v>
      </c>
      <c r="AA27" s="15">
        <v>0</v>
      </c>
      <c r="AB27" s="15">
        <v>1</v>
      </c>
      <c r="AC27" s="15">
        <v>0</v>
      </c>
      <c r="AD27" s="15">
        <v>0</v>
      </c>
      <c r="AE27" s="15">
        <v>0</v>
      </c>
      <c r="AF27" s="15">
        <v>0</v>
      </c>
      <c r="AG27" s="15">
        <v>0</v>
      </c>
      <c r="AH27" s="15">
        <v>0</v>
      </c>
      <c r="AI27" s="15">
        <v>0</v>
      </c>
      <c r="AJ27" s="15">
        <v>0</v>
      </c>
      <c r="AK27" s="15">
        <v>0</v>
      </c>
      <c r="AL27" s="15">
        <v>0</v>
      </c>
      <c r="AM27" s="20">
        <v>1</v>
      </c>
      <c r="AN27" s="20">
        <v>0</v>
      </c>
      <c r="AO27" s="20">
        <v>0</v>
      </c>
      <c r="AP27" s="20">
        <v>0</v>
      </c>
      <c r="AQ27" s="20">
        <v>0</v>
      </c>
      <c r="AR27" s="20">
        <v>0</v>
      </c>
      <c r="AS27" s="20">
        <v>0</v>
      </c>
      <c r="AT27" s="20">
        <v>0</v>
      </c>
      <c r="AU27" s="20">
        <v>0</v>
      </c>
      <c r="AV27" s="20">
        <v>0</v>
      </c>
      <c r="AW27" s="20">
        <v>0</v>
      </c>
      <c r="AX27" s="20">
        <v>0</v>
      </c>
    </row>
    <row r="28" spans="1:50" x14ac:dyDescent="0.3">
      <c r="A28" s="11">
        <v>5</v>
      </c>
      <c r="B28" s="11">
        <v>2</v>
      </c>
      <c r="C28" s="15">
        <v>0</v>
      </c>
      <c r="D28" s="15">
        <v>0</v>
      </c>
      <c r="E28" s="15">
        <v>1</v>
      </c>
      <c r="F28" s="15">
        <v>0</v>
      </c>
      <c r="G28" s="15">
        <v>0</v>
      </c>
      <c r="H28" s="15">
        <v>1</v>
      </c>
      <c r="I28" s="15">
        <v>0</v>
      </c>
      <c r="J28" s="15">
        <v>0</v>
      </c>
      <c r="K28" s="15">
        <v>1</v>
      </c>
      <c r="L28" s="15">
        <v>0</v>
      </c>
      <c r="M28" s="15">
        <v>0</v>
      </c>
      <c r="N28" s="15">
        <v>0</v>
      </c>
      <c r="O28" s="20">
        <v>0</v>
      </c>
      <c r="P28" s="20">
        <v>0</v>
      </c>
      <c r="Q28" s="20">
        <v>0</v>
      </c>
      <c r="R28" s="20">
        <v>1</v>
      </c>
      <c r="S28" s="20">
        <v>0</v>
      </c>
      <c r="T28" s="20">
        <v>1</v>
      </c>
      <c r="U28" s="20">
        <v>0</v>
      </c>
      <c r="V28" s="20">
        <v>1</v>
      </c>
      <c r="W28" s="20">
        <v>0</v>
      </c>
      <c r="X28" s="20">
        <v>0</v>
      </c>
      <c r="Y28" s="20">
        <v>1</v>
      </c>
      <c r="Z28" s="20">
        <v>0</v>
      </c>
      <c r="AA28" s="15">
        <v>0</v>
      </c>
      <c r="AB28" s="15">
        <v>0</v>
      </c>
      <c r="AC28" s="15">
        <v>0</v>
      </c>
      <c r="AD28" s="15">
        <v>0</v>
      </c>
      <c r="AE28" s="15">
        <v>0</v>
      </c>
      <c r="AF28" s="15">
        <v>1</v>
      </c>
      <c r="AG28" s="15">
        <v>0</v>
      </c>
      <c r="AH28" s="15">
        <v>0</v>
      </c>
      <c r="AI28" s="15">
        <v>0</v>
      </c>
      <c r="AJ28" s="15">
        <v>0</v>
      </c>
      <c r="AK28" s="15">
        <v>0</v>
      </c>
      <c r="AL28" s="15">
        <v>1</v>
      </c>
      <c r="AM28" s="20">
        <v>1</v>
      </c>
      <c r="AN28" s="20">
        <v>0</v>
      </c>
      <c r="AO28" s="20">
        <v>0</v>
      </c>
      <c r="AP28" s="20">
        <v>0</v>
      </c>
      <c r="AQ28" s="20">
        <v>0</v>
      </c>
      <c r="AR28" s="20">
        <v>0</v>
      </c>
      <c r="AS28" s="20">
        <v>0</v>
      </c>
      <c r="AT28" s="20">
        <v>0</v>
      </c>
      <c r="AU28" s="20">
        <v>0</v>
      </c>
      <c r="AV28" s="20">
        <v>0</v>
      </c>
      <c r="AW28" s="20">
        <v>0</v>
      </c>
      <c r="AX28" s="20">
        <v>0</v>
      </c>
    </row>
    <row r="29" spans="1:50" x14ac:dyDescent="0.3">
      <c r="A29" s="11">
        <v>5</v>
      </c>
      <c r="B29" s="11">
        <v>3</v>
      </c>
      <c r="C29" s="15">
        <v>0</v>
      </c>
      <c r="D29" s="15">
        <v>0</v>
      </c>
      <c r="E29" s="15">
        <v>0</v>
      </c>
      <c r="F29" s="15">
        <v>1</v>
      </c>
      <c r="G29" s="15">
        <v>0</v>
      </c>
      <c r="H29" s="15">
        <v>0</v>
      </c>
      <c r="I29" s="15">
        <v>1</v>
      </c>
      <c r="J29" s="15">
        <v>0</v>
      </c>
      <c r="K29" s="15">
        <v>0</v>
      </c>
      <c r="L29" s="15">
        <v>0</v>
      </c>
      <c r="M29" s="15">
        <v>0</v>
      </c>
      <c r="N29" s="15">
        <v>1</v>
      </c>
      <c r="O29" s="20">
        <v>0</v>
      </c>
      <c r="P29" s="20">
        <v>1</v>
      </c>
      <c r="Q29" s="20">
        <v>0</v>
      </c>
      <c r="R29" s="20">
        <v>0</v>
      </c>
      <c r="S29" s="20">
        <v>1</v>
      </c>
      <c r="T29" s="20">
        <v>0</v>
      </c>
      <c r="U29" s="20">
        <v>0</v>
      </c>
      <c r="V29" s="20">
        <v>1</v>
      </c>
      <c r="W29" s="20">
        <v>0</v>
      </c>
      <c r="X29" s="20">
        <v>0</v>
      </c>
      <c r="Y29" s="20">
        <v>0</v>
      </c>
      <c r="Z29" s="20">
        <v>1</v>
      </c>
      <c r="AA29" s="15">
        <v>0</v>
      </c>
      <c r="AB29" s="15">
        <v>0</v>
      </c>
      <c r="AC29" s="15">
        <v>0</v>
      </c>
      <c r="AD29" s="15">
        <v>0</v>
      </c>
      <c r="AE29" s="15">
        <v>0</v>
      </c>
      <c r="AF29" s="15">
        <v>1</v>
      </c>
      <c r="AG29" s="15">
        <v>0</v>
      </c>
      <c r="AH29" s="15">
        <v>0</v>
      </c>
      <c r="AI29" s="15">
        <v>0</v>
      </c>
      <c r="AJ29" s="15">
        <v>0</v>
      </c>
      <c r="AK29" s="15">
        <v>0</v>
      </c>
      <c r="AL29" s="15">
        <v>1</v>
      </c>
      <c r="AM29" s="20">
        <v>1</v>
      </c>
      <c r="AN29" s="20">
        <v>0</v>
      </c>
      <c r="AO29" s="20">
        <v>0</v>
      </c>
      <c r="AP29" s="20">
        <v>0</v>
      </c>
      <c r="AQ29" s="20">
        <v>0</v>
      </c>
      <c r="AR29" s="20">
        <v>0</v>
      </c>
      <c r="AS29" s="20">
        <v>0</v>
      </c>
      <c r="AT29" s="20">
        <v>0</v>
      </c>
      <c r="AU29" s="20">
        <v>0</v>
      </c>
      <c r="AV29" s="20">
        <v>0</v>
      </c>
      <c r="AW29" s="20">
        <v>0</v>
      </c>
      <c r="AX29" s="20">
        <v>0</v>
      </c>
    </row>
    <row r="30" spans="1:50" x14ac:dyDescent="0.3">
      <c r="A30" s="11">
        <v>5</v>
      </c>
      <c r="B30" s="11">
        <v>4</v>
      </c>
      <c r="C30" s="15">
        <v>0</v>
      </c>
      <c r="D30" s="15">
        <v>0</v>
      </c>
      <c r="E30" s="15">
        <v>0</v>
      </c>
      <c r="F30" s="15">
        <v>1</v>
      </c>
      <c r="G30" s="15">
        <v>1</v>
      </c>
      <c r="H30" s="15">
        <v>0</v>
      </c>
      <c r="I30" s="15">
        <v>0</v>
      </c>
      <c r="J30" s="15">
        <v>0</v>
      </c>
      <c r="K30" s="15">
        <v>1</v>
      </c>
      <c r="L30" s="15">
        <v>1</v>
      </c>
      <c r="M30" s="15">
        <v>0</v>
      </c>
      <c r="N30" s="15">
        <v>0</v>
      </c>
      <c r="O30" s="20">
        <v>0</v>
      </c>
      <c r="P30" s="20">
        <v>0</v>
      </c>
      <c r="Q30" s="20">
        <v>1</v>
      </c>
      <c r="R30" s="20">
        <v>0</v>
      </c>
      <c r="S30" s="20">
        <v>0</v>
      </c>
      <c r="T30" s="20">
        <v>1</v>
      </c>
      <c r="U30" s="20">
        <v>0</v>
      </c>
      <c r="V30" s="20">
        <v>0</v>
      </c>
      <c r="W30" s="20">
        <v>1</v>
      </c>
      <c r="X30" s="20">
        <v>0</v>
      </c>
      <c r="Y30" s="20">
        <v>0</v>
      </c>
      <c r="Z30" s="20">
        <v>0</v>
      </c>
      <c r="AA30" s="15">
        <v>0</v>
      </c>
      <c r="AB30" s="15">
        <v>0</v>
      </c>
      <c r="AC30" s="15">
        <v>0</v>
      </c>
      <c r="AD30" s="15">
        <v>0</v>
      </c>
      <c r="AE30" s="15">
        <v>0</v>
      </c>
      <c r="AF30" s="15">
        <v>0</v>
      </c>
      <c r="AG30" s="15">
        <v>0</v>
      </c>
      <c r="AH30" s="15">
        <v>0</v>
      </c>
      <c r="AI30" s="15">
        <v>1</v>
      </c>
      <c r="AJ30" s="15">
        <v>0</v>
      </c>
      <c r="AK30" s="15">
        <v>1</v>
      </c>
      <c r="AL30" s="15">
        <v>0</v>
      </c>
      <c r="AM30" s="20">
        <v>1</v>
      </c>
      <c r="AN30" s="20">
        <v>0</v>
      </c>
      <c r="AO30" s="20">
        <v>0</v>
      </c>
      <c r="AP30" s="20">
        <v>0</v>
      </c>
      <c r="AQ30" s="20">
        <v>0</v>
      </c>
      <c r="AR30" s="20">
        <v>0</v>
      </c>
      <c r="AS30" s="20">
        <v>0</v>
      </c>
      <c r="AT30" s="20">
        <v>0</v>
      </c>
      <c r="AU30" s="20">
        <v>0</v>
      </c>
      <c r="AV30" s="20">
        <v>0</v>
      </c>
      <c r="AW30" s="20">
        <v>0</v>
      </c>
      <c r="AX30" s="20">
        <v>0</v>
      </c>
    </row>
    <row r="31" spans="1:50" x14ac:dyDescent="0.3">
      <c r="A31" s="11">
        <v>5</v>
      </c>
      <c r="B31" s="11">
        <v>5</v>
      </c>
      <c r="C31" s="15">
        <v>0</v>
      </c>
      <c r="D31" s="15">
        <v>0</v>
      </c>
      <c r="E31" s="15">
        <v>0</v>
      </c>
      <c r="F31" s="15">
        <v>1</v>
      </c>
      <c r="G31" s="15">
        <v>0</v>
      </c>
      <c r="H31" s="15">
        <v>1</v>
      </c>
      <c r="I31" s="15">
        <v>0</v>
      </c>
      <c r="J31" s="15">
        <v>1</v>
      </c>
      <c r="K31" s="15">
        <v>0</v>
      </c>
      <c r="L31" s="15">
        <v>0</v>
      </c>
      <c r="M31" s="15">
        <v>1</v>
      </c>
      <c r="N31" s="15">
        <v>0</v>
      </c>
      <c r="O31" s="20">
        <v>0</v>
      </c>
      <c r="P31" s="20">
        <v>0</v>
      </c>
      <c r="Q31" s="20">
        <v>1</v>
      </c>
      <c r="R31" s="20">
        <v>0</v>
      </c>
      <c r="S31" s="20">
        <v>1</v>
      </c>
      <c r="T31" s="20">
        <v>0</v>
      </c>
      <c r="U31" s="20">
        <v>0</v>
      </c>
      <c r="V31" s="20">
        <v>0</v>
      </c>
      <c r="W31" s="20">
        <v>0</v>
      </c>
      <c r="X31" s="20">
        <v>0</v>
      </c>
      <c r="Y31" s="20">
        <v>1</v>
      </c>
      <c r="Z31" s="20">
        <v>0</v>
      </c>
      <c r="AA31" s="15">
        <v>0</v>
      </c>
      <c r="AB31" s="15">
        <v>0</v>
      </c>
      <c r="AC31" s="15">
        <v>0</v>
      </c>
      <c r="AD31" s="15">
        <v>0</v>
      </c>
      <c r="AE31" s="15">
        <v>0</v>
      </c>
      <c r="AF31" s="15">
        <v>0</v>
      </c>
      <c r="AG31" s="15">
        <v>0</v>
      </c>
      <c r="AH31" s="15">
        <v>0</v>
      </c>
      <c r="AI31" s="15">
        <v>1</v>
      </c>
      <c r="AJ31" s="15">
        <v>0</v>
      </c>
      <c r="AK31" s="15">
        <v>1</v>
      </c>
      <c r="AL31" s="15">
        <v>0</v>
      </c>
      <c r="AM31" s="20">
        <v>1</v>
      </c>
      <c r="AN31" s="20">
        <v>0</v>
      </c>
      <c r="AO31" s="20">
        <v>0</v>
      </c>
      <c r="AP31" s="20">
        <v>0</v>
      </c>
      <c r="AQ31" s="20">
        <v>0</v>
      </c>
      <c r="AR31" s="20">
        <v>0</v>
      </c>
      <c r="AS31" s="20">
        <v>0</v>
      </c>
      <c r="AT31" s="20">
        <v>0</v>
      </c>
      <c r="AU31" s="20">
        <v>0</v>
      </c>
      <c r="AV31" s="20">
        <v>0</v>
      </c>
      <c r="AW31" s="20">
        <v>0</v>
      </c>
      <c r="AX31" s="20">
        <v>0</v>
      </c>
    </row>
    <row r="32" spans="1:50" x14ac:dyDescent="0.3">
      <c r="A32" s="11">
        <v>5</v>
      </c>
      <c r="B32" s="11">
        <v>6</v>
      </c>
      <c r="C32" s="15">
        <v>0</v>
      </c>
      <c r="D32" s="15">
        <v>1</v>
      </c>
      <c r="E32" s="15">
        <v>0</v>
      </c>
      <c r="F32" s="15">
        <v>0</v>
      </c>
      <c r="G32" s="15">
        <v>0</v>
      </c>
      <c r="H32" s="15">
        <v>0</v>
      </c>
      <c r="I32" s="15">
        <v>0</v>
      </c>
      <c r="J32" s="15">
        <v>0</v>
      </c>
      <c r="K32" s="15">
        <v>0</v>
      </c>
      <c r="L32" s="15">
        <v>0</v>
      </c>
      <c r="M32" s="15">
        <v>0</v>
      </c>
      <c r="N32" s="15">
        <v>0</v>
      </c>
      <c r="O32" s="20">
        <v>0</v>
      </c>
      <c r="P32" s="20">
        <v>0</v>
      </c>
      <c r="Q32" s="20">
        <v>1</v>
      </c>
      <c r="R32" s="20">
        <v>0</v>
      </c>
      <c r="S32" s="20">
        <v>0</v>
      </c>
      <c r="T32" s="20">
        <v>0</v>
      </c>
      <c r="U32" s="20">
        <v>0</v>
      </c>
      <c r="V32" s="20">
        <v>1</v>
      </c>
      <c r="W32" s="20">
        <v>0</v>
      </c>
      <c r="X32" s="20">
        <v>1</v>
      </c>
      <c r="Y32" s="20">
        <v>0</v>
      </c>
      <c r="Z32" s="20">
        <v>0</v>
      </c>
      <c r="AA32" s="15">
        <v>0</v>
      </c>
      <c r="AB32" s="15">
        <v>0</v>
      </c>
      <c r="AC32" s="15">
        <v>0</v>
      </c>
      <c r="AD32" s="15">
        <v>1</v>
      </c>
      <c r="AE32" s="15">
        <v>0</v>
      </c>
      <c r="AF32" s="15">
        <v>0</v>
      </c>
      <c r="AG32" s="15">
        <v>1</v>
      </c>
      <c r="AH32" s="15">
        <v>0</v>
      </c>
      <c r="AI32" s="15">
        <v>0</v>
      </c>
      <c r="AJ32" s="15">
        <v>0</v>
      </c>
      <c r="AK32" s="15">
        <v>0</v>
      </c>
      <c r="AL32" s="15">
        <v>1</v>
      </c>
      <c r="AM32" s="20">
        <v>1</v>
      </c>
      <c r="AN32" s="20">
        <v>0</v>
      </c>
      <c r="AO32" s="20">
        <v>0</v>
      </c>
      <c r="AP32" s="20">
        <v>0</v>
      </c>
      <c r="AQ32" s="20">
        <v>0</v>
      </c>
      <c r="AR32" s="20">
        <v>0</v>
      </c>
      <c r="AS32" s="20">
        <v>0</v>
      </c>
      <c r="AT32" s="20">
        <v>0</v>
      </c>
      <c r="AU32" s="20">
        <v>0</v>
      </c>
      <c r="AV32" s="20">
        <v>0</v>
      </c>
      <c r="AW32" s="20">
        <v>0</v>
      </c>
      <c r="AX32" s="20">
        <v>0</v>
      </c>
    </row>
    <row r="33" spans="1:50" x14ac:dyDescent="0.3">
      <c r="A33" s="11">
        <v>6</v>
      </c>
      <c r="B33" s="11">
        <v>1</v>
      </c>
      <c r="C33" s="15">
        <v>0</v>
      </c>
      <c r="D33" s="15">
        <v>1</v>
      </c>
      <c r="E33" s="15">
        <v>0</v>
      </c>
      <c r="F33" s="15">
        <v>0</v>
      </c>
      <c r="G33" s="15">
        <v>1</v>
      </c>
      <c r="H33" s="15">
        <v>0</v>
      </c>
      <c r="I33" s="15">
        <v>0</v>
      </c>
      <c r="J33" s="15">
        <v>1</v>
      </c>
      <c r="K33" s="15">
        <v>0</v>
      </c>
      <c r="L33" s="15">
        <v>0</v>
      </c>
      <c r="M33" s="15">
        <v>0</v>
      </c>
      <c r="N33" s="15">
        <v>1</v>
      </c>
      <c r="O33" s="20">
        <v>0</v>
      </c>
      <c r="P33" s="20">
        <v>1</v>
      </c>
      <c r="Q33" s="20">
        <v>0</v>
      </c>
      <c r="R33" s="20">
        <v>0</v>
      </c>
      <c r="S33" s="20">
        <v>0</v>
      </c>
      <c r="T33" s="20">
        <v>1</v>
      </c>
      <c r="U33" s="20">
        <v>1</v>
      </c>
      <c r="V33" s="20">
        <v>0</v>
      </c>
      <c r="W33" s="20">
        <v>0</v>
      </c>
      <c r="X33" s="20">
        <v>1</v>
      </c>
      <c r="Y33" s="20">
        <v>0</v>
      </c>
      <c r="Z33" s="20">
        <v>0</v>
      </c>
      <c r="AA33" s="15">
        <v>0</v>
      </c>
      <c r="AB33" s="15">
        <v>1</v>
      </c>
      <c r="AC33" s="15">
        <v>0</v>
      </c>
      <c r="AD33" s="15">
        <v>0</v>
      </c>
      <c r="AE33" s="15">
        <v>0</v>
      </c>
      <c r="AF33" s="15">
        <v>0</v>
      </c>
      <c r="AG33" s="15">
        <v>0</v>
      </c>
      <c r="AH33" s="15">
        <v>0</v>
      </c>
      <c r="AI33" s="15">
        <v>0</v>
      </c>
      <c r="AJ33" s="15">
        <v>0</v>
      </c>
      <c r="AK33" s="15">
        <v>0</v>
      </c>
      <c r="AL33" s="15">
        <v>0</v>
      </c>
      <c r="AM33" s="20">
        <v>1</v>
      </c>
      <c r="AN33" s="20">
        <v>0</v>
      </c>
      <c r="AO33" s="20">
        <v>0</v>
      </c>
      <c r="AP33" s="20">
        <v>0</v>
      </c>
      <c r="AQ33" s="20">
        <v>0</v>
      </c>
      <c r="AR33" s="20">
        <v>0</v>
      </c>
      <c r="AS33" s="20">
        <v>0</v>
      </c>
      <c r="AT33" s="20">
        <v>0</v>
      </c>
      <c r="AU33" s="20">
        <v>0</v>
      </c>
      <c r="AV33" s="20">
        <v>0</v>
      </c>
      <c r="AW33" s="20">
        <v>0</v>
      </c>
      <c r="AX33" s="20">
        <v>0</v>
      </c>
    </row>
    <row r="34" spans="1:50" x14ac:dyDescent="0.3">
      <c r="A34" s="11">
        <v>6</v>
      </c>
      <c r="B34" s="11">
        <v>2</v>
      </c>
      <c r="C34" s="15">
        <v>0</v>
      </c>
      <c r="D34" s="15">
        <v>0</v>
      </c>
      <c r="E34" s="15">
        <v>1</v>
      </c>
      <c r="F34" s="15">
        <v>0</v>
      </c>
      <c r="G34" s="15">
        <v>0</v>
      </c>
      <c r="H34" s="15">
        <v>1</v>
      </c>
      <c r="I34" s="15">
        <v>0</v>
      </c>
      <c r="J34" s="15">
        <v>0</v>
      </c>
      <c r="K34" s="15">
        <v>1</v>
      </c>
      <c r="L34" s="15">
        <v>0</v>
      </c>
      <c r="M34" s="15">
        <v>0</v>
      </c>
      <c r="N34" s="15">
        <v>0</v>
      </c>
      <c r="O34" s="20">
        <v>0</v>
      </c>
      <c r="P34" s="20">
        <v>0</v>
      </c>
      <c r="Q34" s="20">
        <v>0</v>
      </c>
      <c r="R34" s="20">
        <v>1</v>
      </c>
      <c r="S34" s="20">
        <v>0</v>
      </c>
      <c r="T34" s="20">
        <v>1</v>
      </c>
      <c r="U34" s="20">
        <v>0</v>
      </c>
      <c r="V34" s="20">
        <v>1</v>
      </c>
      <c r="W34" s="20">
        <v>0</v>
      </c>
      <c r="X34" s="20">
        <v>0</v>
      </c>
      <c r="Y34" s="20">
        <v>1</v>
      </c>
      <c r="Z34" s="20">
        <v>0</v>
      </c>
      <c r="AA34" s="15">
        <v>0</v>
      </c>
      <c r="AB34" s="15">
        <v>0</v>
      </c>
      <c r="AC34" s="15">
        <v>0</v>
      </c>
      <c r="AD34" s="15">
        <v>0</v>
      </c>
      <c r="AE34" s="15">
        <v>0</v>
      </c>
      <c r="AF34" s="15">
        <v>1</v>
      </c>
      <c r="AG34" s="15">
        <v>0</v>
      </c>
      <c r="AH34" s="15">
        <v>0</v>
      </c>
      <c r="AI34" s="15">
        <v>0</v>
      </c>
      <c r="AJ34" s="15">
        <v>0</v>
      </c>
      <c r="AK34" s="15">
        <v>0</v>
      </c>
      <c r="AL34" s="15">
        <v>1</v>
      </c>
      <c r="AM34" s="20">
        <v>1</v>
      </c>
      <c r="AN34" s="20">
        <v>0</v>
      </c>
      <c r="AO34" s="20">
        <v>0</v>
      </c>
      <c r="AP34" s="20">
        <v>0</v>
      </c>
      <c r="AQ34" s="20">
        <v>0</v>
      </c>
      <c r="AR34" s="20">
        <v>0</v>
      </c>
      <c r="AS34" s="20">
        <v>0</v>
      </c>
      <c r="AT34" s="20">
        <v>0</v>
      </c>
      <c r="AU34" s="20">
        <v>0</v>
      </c>
      <c r="AV34" s="20">
        <v>0</v>
      </c>
      <c r="AW34" s="20">
        <v>0</v>
      </c>
      <c r="AX34" s="20">
        <v>0</v>
      </c>
    </row>
    <row r="35" spans="1:50" x14ac:dyDescent="0.3">
      <c r="A35" s="11">
        <v>6</v>
      </c>
      <c r="B35" s="11">
        <v>3</v>
      </c>
      <c r="C35" s="15">
        <v>0</v>
      </c>
      <c r="D35" s="15">
        <v>0</v>
      </c>
      <c r="E35" s="15">
        <v>0</v>
      </c>
      <c r="F35" s="15">
        <v>1</v>
      </c>
      <c r="G35" s="15">
        <v>0</v>
      </c>
      <c r="H35" s="15">
        <v>0</v>
      </c>
      <c r="I35" s="15">
        <v>1</v>
      </c>
      <c r="J35" s="15">
        <v>0</v>
      </c>
      <c r="K35" s="15">
        <v>0</v>
      </c>
      <c r="L35" s="15">
        <v>0</v>
      </c>
      <c r="M35" s="15">
        <v>0</v>
      </c>
      <c r="N35" s="15">
        <v>1</v>
      </c>
      <c r="O35" s="20">
        <v>0</v>
      </c>
      <c r="P35" s="20">
        <v>1</v>
      </c>
      <c r="Q35" s="20">
        <v>0</v>
      </c>
      <c r="R35" s="20">
        <v>0</v>
      </c>
      <c r="S35" s="20">
        <v>1</v>
      </c>
      <c r="T35" s="20">
        <v>0</v>
      </c>
      <c r="U35" s="20">
        <v>0</v>
      </c>
      <c r="V35" s="20">
        <v>1</v>
      </c>
      <c r="W35" s="20">
        <v>0</v>
      </c>
      <c r="X35" s="20">
        <v>0</v>
      </c>
      <c r="Y35" s="20">
        <v>0</v>
      </c>
      <c r="Z35" s="20">
        <v>1</v>
      </c>
      <c r="AA35" s="15">
        <v>0</v>
      </c>
      <c r="AB35" s="15">
        <v>0</v>
      </c>
      <c r="AC35" s="15">
        <v>0</v>
      </c>
      <c r="AD35" s="15">
        <v>0</v>
      </c>
      <c r="AE35" s="15">
        <v>0</v>
      </c>
      <c r="AF35" s="15">
        <v>1</v>
      </c>
      <c r="AG35" s="15">
        <v>0</v>
      </c>
      <c r="AH35" s="15">
        <v>0</v>
      </c>
      <c r="AI35" s="15">
        <v>0</v>
      </c>
      <c r="AJ35" s="15">
        <v>0</v>
      </c>
      <c r="AK35" s="15">
        <v>0</v>
      </c>
      <c r="AL35" s="15">
        <v>1</v>
      </c>
      <c r="AM35" s="20">
        <v>1</v>
      </c>
      <c r="AN35" s="20">
        <v>0</v>
      </c>
      <c r="AO35" s="20">
        <v>0</v>
      </c>
      <c r="AP35" s="20">
        <v>0</v>
      </c>
      <c r="AQ35" s="20">
        <v>0</v>
      </c>
      <c r="AR35" s="20">
        <v>0</v>
      </c>
      <c r="AS35" s="20">
        <v>0</v>
      </c>
      <c r="AT35" s="20">
        <v>0</v>
      </c>
      <c r="AU35" s="20">
        <v>0</v>
      </c>
      <c r="AV35" s="20">
        <v>0</v>
      </c>
      <c r="AW35" s="20">
        <v>0</v>
      </c>
      <c r="AX35" s="20">
        <v>0</v>
      </c>
    </row>
    <row r="36" spans="1:50" x14ac:dyDescent="0.3">
      <c r="A36" s="11">
        <v>6</v>
      </c>
      <c r="B36" s="11">
        <v>4</v>
      </c>
      <c r="C36" s="15">
        <v>0</v>
      </c>
      <c r="D36" s="15">
        <v>0</v>
      </c>
      <c r="E36" s="15">
        <v>0</v>
      </c>
      <c r="F36" s="15">
        <v>1</v>
      </c>
      <c r="G36" s="15">
        <v>1</v>
      </c>
      <c r="H36" s="15">
        <v>0</v>
      </c>
      <c r="I36" s="15">
        <v>0</v>
      </c>
      <c r="J36" s="15">
        <v>0</v>
      </c>
      <c r="K36" s="15">
        <v>1</v>
      </c>
      <c r="L36" s="15">
        <v>1</v>
      </c>
      <c r="M36" s="15">
        <v>0</v>
      </c>
      <c r="N36" s="15">
        <v>0</v>
      </c>
      <c r="O36" s="20">
        <v>0</v>
      </c>
      <c r="P36" s="20">
        <v>0</v>
      </c>
      <c r="Q36" s="20">
        <v>1</v>
      </c>
      <c r="R36" s="20">
        <v>0</v>
      </c>
      <c r="S36" s="20">
        <v>0</v>
      </c>
      <c r="T36" s="20">
        <v>1</v>
      </c>
      <c r="U36" s="20">
        <v>0</v>
      </c>
      <c r="V36" s="20">
        <v>0</v>
      </c>
      <c r="W36" s="20">
        <v>1</v>
      </c>
      <c r="X36" s="20">
        <v>0</v>
      </c>
      <c r="Y36" s="20">
        <v>0</v>
      </c>
      <c r="Z36" s="20">
        <v>0</v>
      </c>
      <c r="AA36" s="15">
        <v>0</v>
      </c>
      <c r="AB36" s="15">
        <v>0</v>
      </c>
      <c r="AC36" s="15">
        <v>0</v>
      </c>
      <c r="AD36" s="15">
        <v>0</v>
      </c>
      <c r="AE36" s="15">
        <v>0</v>
      </c>
      <c r="AF36" s="15">
        <v>0</v>
      </c>
      <c r="AG36" s="15">
        <v>0</v>
      </c>
      <c r="AH36" s="15">
        <v>0</v>
      </c>
      <c r="AI36" s="15">
        <v>1</v>
      </c>
      <c r="AJ36" s="15">
        <v>0</v>
      </c>
      <c r="AK36" s="15">
        <v>1</v>
      </c>
      <c r="AL36" s="15">
        <v>0</v>
      </c>
      <c r="AM36" s="20">
        <v>1</v>
      </c>
      <c r="AN36" s="20">
        <v>0</v>
      </c>
      <c r="AO36" s="20">
        <v>0</v>
      </c>
      <c r="AP36" s="20">
        <v>0</v>
      </c>
      <c r="AQ36" s="20">
        <v>0</v>
      </c>
      <c r="AR36" s="20">
        <v>0</v>
      </c>
      <c r="AS36" s="20">
        <v>0</v>
      </c>
      <c r="AT36" s="20">
        <v>0</v>
      </c>
      <c r="AU36" s="20">
        <v>0</v>
      </c>
      <c r="AV36" s="20">
        <v>0</v>
      </c>
      <c r="AW36" s="20">
        <v>0</v>
      </c>
      <c r="AX36" s="20">
        <v>0</v>
      </c>
    </row>
    <row r="37" spans="1:50" x14ac:dyDescent="0.3">
      <c r="A37" s="11">
        <v>6</v>
      </c>
      <c r="B37" s="11">
        <v>5</v>
      </c>
      <c r="C37" s="15">
        <v>0</v>
      </c>
      <c r="D37" s="15">
        <v>0</v>
      </c>
      <c r="E37" s="15">
        <v>0</v>
      </c>
      <c r="F37" s="15">
        <v>1</v>
      </c>
      <c r="G37" s="15">
        <v>0</v>
      </c>
      <c r="H37" s="15">
        <v>1</v>
      </c>
      <c r="I37" s="15">
        <v>0</v>
      </c>
      <c r="J37" s="15">
        <v>1</v>
      </c>
      <c r="K37" s="15">
        <v>0</v>
      </c>
      <c r="L37" s="15">
        <v>0</v>
      </c>
      <c r="M37" s="15">
        <v>1</v>
      </c>
      <c r="N37" s="15">
        <v>0</v>
      </c>
      <c r="O37" s="20">
        <v>0</v>
      </c>
      <c r="P37" s="20">
        <v>0</v>
      </c>
      <c r="Q37" s="20">
        <v>1</v>
      </c>
      <c r="R37" s="20">
        <v>0</v>
      </c>
      <c r="S37" s="20">
        <v>1</v>
      </c>
      <c r="T37" s="20">
        <v>0</v>
      </c>
      <c r="U37" s="20">
        <v>0</v>
      </c>
      <c r="V37" s="20">
        <v>0</v>
      </c>
      <c r="W37" s="20">
        <v>0</v>
      </c>
      <c r="X37" s="20">
        <v>0</v>
      </c>
      <c r="Y37" s="20">
        <v>1</v>
      </c>
      <c r="Z37" s="20">
        <v>0</v>
      </c>
      <c r="AA37" s="15">
        <v>0</v>
      </c>
      <c r="AB37" s="15">
        <v>0</v>
      </c>
      <c r="AC37" s="15">
        <v>0</v>
      </c>
      <c r="AD37" s="15">
        <v>0</v>
      </c>
      <c r="AE37" s="15">
        <v>0</v>
      </c>
      <c r="AF37" s="15">
        <v>0</v>
      </c>
      <c r="AG37" s="15">
        <v>0</v>
      </c>
      <c r="AH37" s="15">
        <v>0</v>
      </c>
      <c r="AI37" s="15">
        <v>1</v>
      </c>
      <c r="AJ37" s="15">
        <v>0</v>
      </c>
      <c r="AK37" s="15">
        <v>1</v>
      </c>
      <c r="AL37" s="15">
        <v>0</v>
      </c>
      <c r="AM37" s="20">
        <v>1</v>
      </c>
      <c r="AN37" s="20">
        <v>0</v>
      </c>
      <c r="AO37" s="20">
        <v>0</v>
      </c>
      <c r="AP37" s="20">
        <v>0</v>
      </c>
      <c r="AQ37" s="20">
        <v>0</v>
      </c>
      <c r="AR37" s="20">
        <v>0</v>
      </c>
      <c r="AS37" s="20">
        <v>0</v>
      </c>
      <c r="AT37" s="20">
        <v>0</v>
      </c>
      <c r="AU37" s="20">
        <v>0</v>
      </c>
      <c r="AV37" s="20">
        <v>0</v>
      </c>
      <c r="AW37" s="20">
        <v>0</v>
      </c>
      <c r="AX37" s="20">
        <v>0</v>
      </c>
    </row>
    <row r="38" spans="1:50" x14ac:dyDescent="0.3">
      <c r="A38" s="11">
        <v>6</v>
      </c>
      <c r="B38" s="11">
        <v>6</v>
      </c>
      <c r="C38" s="15">
        <v>0</v>
      </c>
      <c r="D38" s="15">
        <v>1</v>
      </c>
      <c r="E38" s="15">
        <v>0</v>
      </c>
      <c r="F38" s="15">
        <v>0</v>
      </c>
      <c r="G38" s="15">
        <v>0</v>
      </c>
      <c r="H38" s="15">
        <v>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0</v>
      </c>
      <c r="O38" s="20">
        <v>0</v>
      </c>
      <c r="P38" s="20">
        <v>0</v>
      </c>
      <c r="Q38" s="20">
        <v>1</v>
      </c>
      <c r="R38" s="20">
        <v>0</v>
      </c>
      <c r="S38" s="20">
        <v>0</v>
      </c>
      <c r="T38" s="20">
        <v>0</v>
      </c>
      <c r="U38" s="20">
        <v>0</v>
      </c>
      <c r="V38" s="20">
        <v>1</v>
      </c>
      <c r="W38" s="20">
        <v>0</v>
      </c>
      <c r="X38" s="20">
        <v>1</v>
      </c>
      <c r="Y38" s="20">
        <v>0</v>
      </c>
      <c r="Z38" s="20">
        <v>0</v>
      </c>
      <c r="AA38" s="15">
        <v>0</v>
      </c>
      <c r="AB38" s="15">
        <v>0</v>
      </c>
      <c r="AC38" s="15">
        <v>0</v>
      </c>
      <c r="AD38" s="15">
        <v>1</v>
      </c>
      <c r="AE38" s="15">
        <v>0</v>
      </c>
      <c r="AF38" s="15">
        <v>0</v>
      </c>
      <c r="AG38" s="15">
        <v>1</v>
      </c>
      <c r="AH38" s="15">
        <v>0</v>
      </c>
      <c r="AI38" s="15">
        <v>0</v>
      </c>
      <c r="AJ38" s="15">
        <v>0</v>
      </c>
      <c r="AK38" s="15">
        <v>0</v>
      </c>
      <c r="AL38" s="15">
        <v>1</v>
      </c>
      <c r="AM38" s="20">
        <v>1</v>
      </c>
      <c r="AN38" s="20">
        <v>0</v>
      </c>
      <c r="AO38" s="20">
        <v>0</v>
      </c>
      <c r="AP38" s="20">
        <v>0</v>
      </c>
      <c r="AQ38" s="20">
        <v>0</v>
      </c>
      <c r="AR38" s="20">
        <v>0</v>
      </c>
      <c r="AS38" s="20">
        <v>0</v>
      </c>
      <c r="AT38" s="20">
        <v>0</v>
      </c>
      <c r="AU38" s="20">
        <v>0</v>
      </c>
      <c r="AV38" s="20">
        <v>0</v>
      </c>
      <c r="AW38" s="20">
        <v>0</v>
      </c>
      <c r="AX38" s="20">
        <v>0</v>
      </c>
    </row>
    <row r="39" spans="1:50" x14ac:dyDescent="0.3">
      <c r="A39" s="11">
        <v>7</v>
      </c>
      <c r="B39" s="11">
        <v>1</v>
      </c>
      <c r="C39" s="15">
        <v>0</v>
      </c>
      <c r="D39" s="15">
        <v>1</v>
      </c>
      <c r="E39" s="15">
        <v>0</v>
      </c>
      <c r="F39" s="15">
        <v>0</v>
      </c>
      <c r="G39" s="15">
        <v>1</v>
      </c>
      <c r="H39" s="15">
        <v>0</v>
      </c>
      <c r="I39" s="15">
        <v>0</v>
      </c>
      <c r="J39" s="15">
        <v>1</v>
      </c>
      <c r="K39" s="15">
        <v>0</v>
      </c>
      <c r="L39" s="15">
        <v>0</v>
      </c>
      <c r="M39" s="15">
        <v>0</v>
      </c>
      <c r="N39" s="15">
        <v>1</v>
      </c>
      <c r="O39" s="20">
        <v>0</v>
      </c>
      <c r="P39" s="20">
        <v>1</v>
      </c>
      <c r="Q39" s="20">
        <v>0</v>
      </c>
      <c r="R39" s="20">
        <v>0</v>
      </c>
      <c r="S39" s="20">
        <v>0</v>
      </c>
      <c r="T39" s="20">
        <v>1</v>
      </c>
      <c r="U39" s="20">
        <v>1</v>
      </c>
      <c r="V39" s="20">
        <v>0</v>
      </c>
      <c r="W39" s="20">
        <v>0</v>
      </c>
      <c r="X39" s="20">
        <v>1</v>
      </c>
      <c r="Y39" s="20">
        <v>0</v>
      </c>
      <c r="Z39" s="20">
        <v>0</v>
      </c>
      <c r="AA39" s="15">
        <v>0</v>
      </c>
      <c r="AB39" s="15">
        <v>1</v>
      </c>
      <c r="AC39" s="15">
        <v>0</v>
      </c>
      <c r="AD39" s="15">
        <v>0</v>
      </c>
      <c r="AE39" s="15">
        <v>0</v>
      </c>
      <c r="AF39" s="15">
        <v>0</v>
      </c>
      <c r="AG39" s="15">
        <v>0</v>
      </c>
      <c r="AH39" s="15">
        <v>0</v>
      </c>
      <c r="AI39" s="15">
        <v>0</v>
      </c>
      <c r="AJ39" s="15">
        <v>0</v>
      </c>
      <c r="AK39" s="15">
        <v>0</v>
      </c>
      <c r="AL39" s="15">
        <v>0</v>
      </c>
      <c r="AM39" s="20">
        <v>1</v>
      </c>
      <c r="AN39" s="20">
        <v>0</v>
      </c>
      <c r="AO39" s="20">
        <v>0</v>
      </c>
      <c r="AP39" s="20">
        <v>0</v>
      </c>
      <c r="AQ39" s="20">
        <v>0</v>
      </c>
      <c r="AR39" s="20">
        <v>0</v>
      </c>
      <c r="AS39" s="20">
        <v>0</v>
      </c>
      <c r="AT39" s="20">
        <v>0</v>
      </c>
      <c r="AU39" s="20">
        <v>0</v>
      </c>
      <c r="AV39" s="20">
        <v>0</v>
      </c>
      <c r="AW39" s="20">
        <v>0</v>
      </c>
      <c r="AX39" s="20">
        <v>0</v>
      </c>
    </row>
    <row r="40" spans="1:50" x14ac:dyDescent="0.3">
      <c r="A40" s="11">
        <v>7</v>
      </c>
      <c r="B40" s="11">
        <v>2</v>
      </c>
      <c r="C40" s="15">
        <v>0</v>
      </c>
      <c r="D40" s="15">
        <v>0</v>
      </c>
      <c r="E40" s="15">
        <v>1</v>
      </c>
      <c r="F40" s="15">
        <v>0</v>
      </c>
      <c r="G40" s="15">
        <v>0</v>
      </c>
      <c r="H40" s="15">
        <v>1</v>
      </c>
      <c r="I40" s="15">
        <v>0</v>
      </c>
      <c r="J40" s="15">
        <v>0</v>
      </c>
      <c r="K40" s="15">
        <v>1</v>
      </c>
      <c r="L40" s="15">
        <v>0</v>
      </c>
      <c r="M40" s="15">
        <v>0</v>
      </c>
      <c r="N40" s="15">
        <v>0</v>
      </c>
      <c r="O40" s="20">
        <v>0</v>
      </c>
      <c r="P40" s="20">
        <v>0</v>
      </c>
      <c r="Q40" s="20">
        <v>0</v>
      </c>
      <c r="R40" s="20">
        <v>1</v>
      </c>
      <c r="S40" s="20">
        <v>0</v>
      </c>
      <c r="T40" s="20">
        <v>1</v>
      </c>
      <c r="U40" s="20">
        <v>0</v>
      </c>
      <c r="V40" s="20">
        <v>1</v>
      </c>
      <c r="W40" s="20">
        <v>0</v>
      </c>
      <c r="X40" s="20">
        <v>0</v>
      </c>
      <c r="Y40" s="20">
        <v>1</v>
      </c>
      <c r="Z40" s="20">
        <v>0</v>
      </c>
      <c r="AA40" s="15">
        <v>0</v>
      </c>
      <c r="AB40" s="15">
        <v>0</v>
      </c>
      <c r="AC40" s="15">
        <v>0</v>
      </c>
      <c r="AD40" s="15">
        <v>0</v>
      </c>
      <c r="AE40" s="15">
        <v>0</v>
      </c>
      <c r="AF40" s="15">
        <v>1</v>
      </c>
      <c r="AG40" s="15">
        <v>0</v>
      </c>
      <c r="AH40" s="15">
        <v>0</v>
      </c>
      <c r="AI40" s="15">
        <v>0</v>
      </c>
      <c r="AJ40" s="15">
        <v>0</v>
      </c>
      <c r="AK40" s="15">
        <v>0</v>
      </c>
      <c r="AL40" s="15">
        <v>1</v>
      </c>
      <c r="AM40" s="20">
        <v>1</v>
      </c>
      <c r="AN40" s="20">
        <v>0</v>
      </c>
      <c r="AO40" s="20">
        <v>0</v>
      </c>
      <c r="AP40" s="20">
        <v>0</v>
      </c>
      <c r="AQ40" s="20">
        <v>0</v>
      </c>
      <c r="AR40" s="20">
        <v>0</v>
      </c>
      <c r="AS40" s="20">
        <v>0</v>
      </c>
      <c r="AT40" s="20">
        <v>0</v>
      </c>
      <c r="AU40" s="20">
        <v>0</v>
      </c>
      <c r="AV40" s="20">
        <v>0</v>
      </c>
      <c r="AW40" s="20">
        <v>0</v>
      </c>
      <c r="AX40" s="20">
        <v>0</v>
      </c>
    </row>
    <row r="41" spans="1:50" x14ac:dyDescent="0.3">
      <c r="A41" s="11">
        <v>7</v>
      </c>
      <c r="B41" s="11">
        <v>3</v>
      </c>
      <c r="C41" s="15">
        <v>0</v>
      </c>
      <c r="D41" s="15">
        <v>0</v>
      </c>
      <c r="E41" s="15">
        <v>0</v>
      </c>
      <c r="F41" s="15">
        <v>1</v>
      </c>
      <c r="G41" s="15">
        <v>0</v>
      </c>
      <c r="H41" s="15">
        <v>0</v>
      </c>
      <c r="I41" s="15">
        <v>1</v>
      </c>
      <c r="J41" s="15">
        <v>0</v>
      </c>
      <c r="K41" s="15">
        <v>0</v>
      </c>
      <c r="L41" s="15">
        <v>0</v>
      </c>
      <c r="M41" s="15">
        <v>0</v>
      </c>
      <c r="N41" s="15">
        <v>1</v>
      </c>
      <c r="O41" s="20">
        <v>0</v>
      </c>
      <c r="P41" s="20">
        <v>1</v>
      </c>
      <c r="Q41" s="20">
        <v>0</v>
      </c>
      <c r="R41" s="20">
        <v>0</v>
      </c>
      <c r="S41" s="20">
        <v>1</v>
      </c>
      <c r="T41" s="20">
        <v>0</v>
      </c>
      <c r="U41" s="20">
        <v>0</v>
      </c>
      <c r="V41" s="20">
        <v>1</v>
      </c>
      <c r="W41" s="20">
        <v>0</v>
      </c>
      <c r="X41" s="20">
        <v>0</v>
      </c>
      <c r="Y41" s="20">
        <v>0</v>
      </c>
      <c r="Z41" s="20">
        <v>1</v>
      </c>
      <c r="AA41" s="15">
        <v>0</v>
      </c>
      <c r="AB41" s="15">
        <v>0</v>
      </c>
      <c r="AC41" s="15">
        <v>0</v>
      </c>
      <c r="AD41" s="15">
        <v>0</v>
      </c>
      <c r="AE41" s="15">
        <v>0</v>
      </c>
      <c r="AF41" s="15">
        <v>1</v>
      </c>
      <c r="AG41" s="15">
        <v>0</v>
      </c>
      <c r="AH41" s="15">
        <v>0</v>
      </c>
      <c r="AI41" s="15">
        <v>0</v>
      </c>
      <c r="AJ41" s="15">
        <v>0</v>
      </c>
      <c r="AK41" s="15">
        <v>0</v>
      </c>
      <c r="AL41" s="15">
        <v>1</v>
      </c>
      <c r="AM41" s="20">
        <v>1</v>
      </c>
      <c r="AN41" s="20">
        <v>0</v>
      </c>
      <c r="AO41" s="20">
        <v>0</v>
      </c>
      <c r="AP41" s="20">
        <v>0</v>
      </c>
      <c r="AQ41" s="20">
        <v>0</v>
      </c>
      <c r="AR41" s="20">
        <v>0</v>
      </c>
      <c r="AS41" s="20">
        <v>0</v>
      </c>
      <c r="AT41" s="20">
        <v>0</v>
      </c>
      <c r="AU41" s="20">
        <v>0</v>
      </c>
      <c r="AV41" s="20">
        <v>0</v>
      </c>
      <c r="AW41" s="20">
        <v>0</v>
      </c>
      <c r="AX41" s="20">
        <v>0</v>
      </c>
    </row>
    <row r="42" spans="1:50" x14ac:dyDescent="0.3">
      <c r="A42" s="11">
        <v>7</v>
      </c>
      <c r="B42" s="11">
        <v>4</v>
      </c>
      <c r="C42" s="15">
        <v>0</v>
      </c>
      <c r="D42" s="15">
        <v>0</v>
      </c>
      <c r="E42" s="15">
        <v>0</v>
      </c>
      <c r="F42" s="15">
        <v>1</v>
      </c>
      <c r="G42" s="15">
        <v>1</v>
      </c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0</v>
      </c>
      <c r="O42" s="20">
        <v>0</v>
      </c>
      <c r="P42" s="20">
        <v>0</v>
      </c>
      <c r="Q42" s="20">
        <v>1</v>
      </c>
      <c r="R42" s="20">
        <v>0</v>
      </c>
      <c r="S42" s="20">
        <v>0</v>
      </c>
      <c r="T42" s="20">
        <v>1</v>
      </c>
      <c r="U42" s="20">
        <v>0</v>
      </c>
      <c r="V42" s="20">
        <v>0</v>
      </c>
      <c r="W42" s="20">
        <v>1</v>
      </c>
      <c r="X42" s="20">
        <v>0</v>
      </c>
      <c r="Y42" s="20">
        <v>0</v>
      </c>
      <c r="Z42" s="20">
        <v>0</v>
      </c>
      <c r="AA42" s="15">
        <v>0</v>
      </c>
      <c r="AB42" s="15">
        <v>0</v>
      </c>
      <c r="AC42" s="15">
        <v>0</v>
      </c>
      <c r="AD42" s="15">
        <v>0</v>
      </c>
      <c r="AE42" s="15">
        <v>0</v>
      </c>
      <c r="AF42" s="15">
        <v>0</v>
      </c>
      <c r="AG42" s="15">
        <v>0</v>
      </c>
      <c r="AH42" s="15">
        <v>0</v>
      </c>
      <c r="AI42" s="15">
        <v>1</v>
      </c>
      <c r="AJ42" s="15">
        <v>0</v>
      </c>
      <c r="AK42" s="15">
        <v>1</v>
      </c>
      <c r="AL42" s="15">
        <v>0</v>
      </c>
      <c r="AM42" s="20">
        <v>1</v>
      </c>
      <c r="AN42" s="20">
        <v>0</v>
      </c>
      <c r="AO42" s="20">
        <v>0</v>
      </c>
      <c r="AP42" s="20">
        <v>0</v>
      </c>
      <c r="AQ42" s="20">
        <v>0</v>
      </c>
      <c r="AR42" s="20">
        <v>0</v>
      </c>
      <c r="AS42" s="20">
        <v>0</v>
      </c>
      <c r="AT42" s="20">
        <v>0</v>
      </c>
      <c r="AU42" s="20">
        <v>0</v>
      </c>
      <c r="AV42" s="20">
        <v>0</v>
      </c>
      <c r="AW42" s="20">
        <v>0</v>
      </c>
      <c r="AX42" s="20">
        <v>0</v>
      </c>
    </row>
    <row r="43" spans="1:50" x14ac:dyDescent="0.3">
      <c r="A43" s="11">
        <v>7</v>
      </c>
      <c r="B43" s="11">
        <v>5</v>
      </c>
      <c r="C43" s="15">
        <v>0</v>
      </c>
      <c r="D43" s="15">
        <v>0</v>
      </c>
      <c r="E43" s="15">
        <v>0</v>
      </c>
      <c r="F43" s="15">
        <v>1</v>
      </c>
      <c r="G43" s="15">
        <v>0</v>
      </c>
      <c r="H43" s="15">
        <v>1</v>
      </c>
      <c r="I43" s="15">
        <v>0</v>
      </c>
      <c r="J43" s="15">
        <v>1</v>
      </c>
      <c r="K43" s="15">
        <v>0</v>
      </c>
      <c r="L43" s="15">
        <v>0</v>
      </c>
      <c r="M43" s="15">
        <v>1</v>
      </c>
      <c r="N43" s="15">
        <v>0</v>
      </c>
      <c r="O43" s="20">
        <v>0</v>
      </c>
      <c r="P43" s="20">
        <v>0</v>
      </c>
      <c r="Q43" s="20">
        <v>1</v>
      </c>
      <c r="R43" s="20">
        <v>0</v>
      </c>
      <c r="S43" s="20">
        <v>1</v>
      </c>
      <c r="T43" s="20">
        <v>0</v>
      </c>
      <c r="U43" s="20">
        <v>0</v>
      </c>
      <c r="V43" s="20">
        <v>0</v>
      </c>
      <c r="W43" s="20">
        <v>0</v>
      </c>
      <c r="X43" s="20">
        <v>0</v>
      </c>
      <c r="Y43" s="20">
        <v>1</v>
      </c>
      <c r="Z43" s="20">
        <v>0</v>
      </c>
      <c r="AA43" s="15">
        <v>0</v>
      </c>
      <c r="AB43" s="15">
        <v>0</v>
      </c>
      <c r="AC43" s="15">
        <v>0</v>
      </c>
      <c r="AD43" s="15">
        <v>0</v>
      </c>
      <c r="AE43" s="15">
        <v>0</v>
      </c>
      <c r="AF43" s="15">
        <v>0</v>
      </c>
      <c r="AG43" s="15">
        <v>0</v>
      </c>
      <c r="AH43" s="15">
        <v>0</v>
      </c>
      <c r="AI43" s="15">
        <v>1</v>
      </c>
      <c r="AJ43" s="15">
        <v>0</v>
      </c>
      <c r="AK43" s="15">
        <v>1</v>
      </c>
      <c r="AL43" s="15">
        <v>0</v>
      </c>
      <c r="AM43" s="20">
        <v>1</v>
      </c>
      <c r="AN43" s="20">
        <v>0</v>
      </c>
      <c r="AO43" s="20">
        <v>0</v>
      </c>
      <c r="AP43" s="20">
        <v>0</v>
      </c>
      <c r="AQ43" s="20">
        <v>0</v>
      </c>
      <c r="AR43" s="20">
        <v>0</v>
      </c>
      <c r="AS43" s="20">
        <v>0</v>
      </c>
      <c r="AT43" s="20">
        <v>0</v>
      </c>
      <c r="AU43" s="20">
        <v>0</v>
      </c>
      <c r="AV43" s="20">
        <v>0</v>
      </c>
      <c r="AW43" s="20">
        <v>0</v>
      </c>
      <c r="AX43" s="20">
        <v>0</v>
      </c>
    </row>
    <row r="44" spans="1:50" x14ac:dyDescent="0.3">
      <c r="A44" s="11">
        <v>7</v>
      </c>
      <c r="B44" s="11">
        <v>6</v>
      </c>
      <c r="C44" s="15">
        <v>0</v>
      </c>
      <c r="D44" s="15">
        <v>1</v>
      </c>
      <c r="E44" s="15">
        <v>0</v>
      </c>
      <c r="F44" s="15">
        <v>0</v>
      </c>
      <c r="G44" s="15">
        <v>0</v>
      </c>
      <c r="H44" s="15">
        <v>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20">
        <v>0</v>
      </c>
      <c r="P44" s="20">
        <v>0</v>
      </c>
      <c r="Q44" s="20">
        <v>1</v>
      </c>
      <c r="R44" s="20">
        <v>0</v>
      </c>
      <c r="S44" s="20">
        <v>0</v>
      </c>
      <c r="T44" s="20">
        <v>0</v>
      </c>
      <c r="U44" s="20">
        <v>0</v>
      </c>
      <c r="V44" s="20">
        <v>1</v>
      </c>
      <c r="W44" s="20">
        <v>0</v>
      </c>
      <c r="X44" s="20">
        <v>1</v>
      </c>
      <c r="Y44" s="20">
        <v>0</v>
      </c>
      <c r="Z44" s="20">
        <v>0</v>
      </c>
      <c r="AA44" s="15">
        <v>0</v>
      </c>
      <c r="AB44" s="15">
        <v>0</v>
      </c>
      <c r="AC44" s="15">
        <v>0</v>
      </c>
      <c r="AD44" s="15">
        <v>1</v>
      </c>
      <c r="AE44" s="15">
        <v>0</v>
      </c>
      <c r="AF44" s="15">
        <v>0</v>
      </c>
      <c r="AG44" s="15">
        <v>1</v>
      </c>
      <c r="AH44" s="15">
        <v>0</v>
      </c>
      <c r="AI44" s="15">
        <v>0</v>
      </c>
      <c r="AJ44" s="15">
        <v>0</v>
      </c>
      <c r="AK44" s="15">
        <v>0</v>
      </c>
      <c r="AL44" s="15">
        <v>1</v>
      </c>
      <c r="AM44" s="20">
        <v>1</v>
      </c>
      <c r="AN44" s="20">
        <v>0</v>
      </c>
      <c r="AO44" s="20">
        <v>0</v>
      </c>
      <c r="AP44" s="20">
        <v>0</v>
      </c>
      <c r="AQ44" s="20">
        <v>0</v>
      </c>
      <c r="AR44" s="20">
        <v>0</v>
      </c>
      <c r="AS44" s="20">
        <v>0</v>
      </c>
      <c r="AT44" s="20">
        <v>0</v>
      </c>
      <c r="AU44" s="20">
        <v>0</v>
      </c>
      <c r="AV44" s="20">
        <v>0</v>
      </c>
      <c r="AW44" s="20">
        <v>0</v>
      </c>
      <c r="AX44" s="20">
        <v>0</v>
      </c>
    </row>
    <row r="45" spans="1:50" x14ac:dyDescent="0.3">
      <c r="A45" s="11">
        <v>8</v>
      </c>
      <c r="B45" s="11">
        <v>1</v>
      </c>
      <c r="C45" s="15">
        <v>0</v>
      </c>
      <c r="D45" s="15">
        <v>1</v>
      </c>
      <c r="E45" s="15">
        <v>0</v>
      </c>
      <c r="F45" s="15">
        <v>0</v>
      </c>
      <c r="G45" s="15">
        <v>1</v>
      </c>
      <c r="H45" s="15">
        <v>0</v>
      </c>
      <c r="I45" s="15">
        <v>0</v>
      </c>
      <c r="J45" s="15">
        <v>1</v>
      </c>
      <c r="K45" s="15">
        <v>0</v>
      </c>
      <c r="L45" s="15">
        <v>0</v>
      </c>
      <c r="M45" s="15">
        <v>0</v>
      </c>
      <c r="N45" s="15">
        <v>1</v>
      </c>
      <c r="O45" s="20">
        <v>0</v>
      </c>
      <c r="P45" s="20">
        <v>1</v>
      </c>
      <c r="Q45" s="20">
        <v>0</v>
      </c>
      <c r="R45" s="20">
        <v>0</v>
      </c>
      <c r="S45" s="20">
        <v>0</v>
      </c>
      <c r="T45" s="20">
        <v>1</v>
      </c>
      <c r="U45" s="20">
        <v>1</v>
      </c>
      <c r="V45" s="20">
        <v>0</v>
      </c>
      <c r="W45" s="20">
        <v>0</v>
      </c>
      <c r="X45" s="20">
        <v>1</v>
      </c>
      <c r="Y45" s="20">
        <v>0</v>
      </c>
      <c r="Z45" s="20">
        <v>0</v>
      </c>
      <c r="AA45" s="15">
        <v>0</v>
      </c>
      <c r="AB45" s="15">
        <v>1</v>
      </c>
      <c r="AC45" s="15">
        <v>0</v>
      </c>
      <c r="AD45" s="15">
        <v>0</v>
      </c>
      <c r="AE45" s="15">
        <v>0</v>
      </c>
      <c r="AF45" s="15">
        <v>0</v>
      </c>
      <c r="AG45" s="15">
        <v>0</v>
      </c>
      <c r="AH45" s="15">
        <v>0</v>
      </c>
      <c r="AI45" s="15">
        <v>0</v>
      </c>
      <c r="AJ45" s="15">
        <v>0</v>
      </c>
      <c r="AK45" s="15">
        <v>0</v>
      </c>
      <c r="AL45" s="15">
        <v>0</v>
      </c>
      <c r="AM45" s="20">
        <v>1</v>
      </c>
      <c r="AN45" s="20">
        <v>0</v>
      </c>
      <c r="AO45" s="20">
        <v>0</v>
      </c>
      <c r="AP45" s="20">
        <v>0</v>
      </c>
      <c r="AQ45" s="20">
        <v>0</v>
      </c>
      <c r="AR45" s="20">
        <v>0</v>
      </c>
      <c r="AS45" s="20">
        <v>0</v>
      </c>
      <c r="AT45" s="20">
        <v>0</v>
      </c>
      <c r="AU45" s="20">
        <v>0</v>
      </c>
      <c r="AV45" s="20">
        <v>0</v>
      </c>
      <c r="AW45" s="20">
        <v>0</v>
      </c>
      <c r="AX45" s="20">
        <v>0</v>
      </c>
    </row>
    <row r="46" spans="1:50" x14ac:dyDescent="0.3">
      <c r="A46" s="11">
        <v>8</v>
      </c>
      <c r="B46" s="11">
        <v>2</v>
      </c>
      <c r="C46" s="15">
        <v>0</v>
      </c>
      <c r="D46" s="15">
        <v>0</v>
      </c>
      <c r="E46" s="15">
        <v>1</v>
      </c>
      <c r="F46" s="15">
        <v>0</v>
      </c>
      <c r="G46" s="15">
        <v>0</v>
      </c>
      <c r="H46" s="15">
        <v>1</v>
      </c>
      <c r="I46" s="15">
        <v>0</v>
      </c>
      <c r="J46" s="15">
        <v>0</v>
      </c>
      <c r="K46" s="15">
        <v>1</v>
      </c>
      <c r="L46" s="15">
        <v>0</v>
      </c>
      <c r="M46" s="15">
        <v>0</v>
      </c>
      <c r="N46" s="15">
        <v>0</v>
      </c>
      <c r="O46" s="20">
        <v>0</v>
      </c>
      <c r="P46" s="20">
        <v>0</v>
      </c>
      <c r="Q46" s="20">
        <v>0</v>
      </c>
      <c r="R46" s="20">
        <v>1</v>
      </c>
      <c r="S46" s="20">
        <v>0</v>
      </c>
      <c r="T46" s="20">
        <v>1</v>
      </c>
      <c r="U46" s="20">
        <v>0</v>
      </c>
      <c r="V46" s="20">
        <v>1</v>
      </c>
      <c r="W46" s="20">
        <v>0</v>
      </c>
      <c r="X46" s="20">
        <v>0</v>
      </c>
      <c r="Y46" s="20">
        <v>1</v>
      </c>
      <c r="Z46" s="20">
        <v>0</v>
      </c>
      <c r="AA46" s="15">
        <v>0</v>
      </c>
      <c r="AB46" s="15">
        <v>0</v>
      </c>
      <c r="AC46" s="15">
        <v>0</v>
      </c>
      <c r="AD46" s="15">
        <v>0</v>
      </c>
      <c r="AE46" s="15">
        <v>0</v>
      </c>
      <c r="AF46" s="15">
        <v>1</v>
      </c>
      <c r="AG46" s="15">
        <v>0</v>
      </c>
      <c r="AH46" s="15">
        <v>0</v>
      </c>
      <c r="AI46" s="15">
        <v>0</v>
      </c>
      <c r="AJ46" s="15">
        <v>0</v>
      </c>
      <c r="AK46" s="15">
        <v>0</v>
      </c>
      <c r="AL46" s="15">
        <v>1</v>
      </c>
      <c r="AM46" s="20">
        <v>1</v>
      </c>
      <c r="AN46" s="20">
        <v>0</v>
      </c>
      <c r="AO46" s="20">
        <v>0</v>
      </c>
      <c r="AP46" s="20">
        <v>0</v>
      </c>
      <c r="AQ46" s="20">
        <v>0</v>
      </c>
      <c r="AR46" s="20">
        <v>0</v>
      </c>
      <c r="AS46" s="20">
        <v>0</v>
      </c>
      <c r="AT46" s="20">
        <v>0</v>
      </c>
      <c r="AU46" s="20">
        <v>0</v>
      </c>
      <c r="AV46" s="20">
        <v>0</v>
      </c>
      <c r="AW46" s="20">
        <v>0</v>
      </c>
      <c r="AX46" s="20">
        <v>0</v>
      </c>
    </row>
    <row r="47" spans="1:50" x14ac:dyDescent="0.3">
      <c r="A47" s="11">
        <v>8</v>
      </c>
      <c r="B47" s="11">
        <v>3</v>
      </c>
      <c r="C47" s="15">
        <v>0</v>
      </c>
      <c r="D47" s="15">
        <v>0</v>
      </c>
      <c r="E47" s="15">
        <v>0</v>
      </c>
      <c r="F47" s="15">
        <v>1</v>
      </c>
      <c r="G47" s="15">
        <v>0</v>
      </c>
      <c r="H47" s="15">
        <v>0</v>
      </c>
      <c r="I47" s="15">
        <v>1</v>
      </c>
      <c r="J47" s="15">
        <v>0</v>
      </c>
      <c r="K47" s="15">
        <v>0</v>
      </c>
      <c r="L47" s="15">
        <v>0</v>
      </c>
      <c r="M47" s="15">
        <v>0</v>
      </c>
      <c r="N47" s="15">
        <v>1</v>
      </c>
      <c r="O47" s="20">
        <v>0</v>
      </c>
      <c r="P47" s="20">
        <v>1</v>
      </c>
      <c r="Q47" s="20">
        <v>0</v>
      </c>
      <c r="R47" s="20">
        <v>0</v>
      </c>
      <c r="S47" s="20">
        <v>1</v>
      </c>
      <c r="T47" s="20">
        <v>0</v>
      </c>
      <c r="U47" s="20">
        <v>0</v>
      </c>
      <c r="V47" s="20">
        <v>1</v>
      </c>
      <c r="W47" s="20">
        <v>0</v>
      </c>
      <c r="X47" s="20">
        <v>0</v>
      </c>
      <c r="Y47" s="20">
        <v>0</v>
      </c>
      <c r="Z47" s="20">
        <v>1</v>
      </c>
      <c r="AA47" s="15">
        <v>0</v>
      </c>
      <c r="AB47" s="15">
        <v>0</v>
      </c>
      <c r="AC47" s="15">
        <v>0</v>
      </c>
      <c r="AD47" s="15">
        <v>0</v>
      </c>
      <c r="AE47" s="15">
        <v>0</v>
      </c>
      <c r="AF47" s="15">
        <v>1</v>
      </c>
      <c r="AG47" s="15">
        <v>0</v>
      </c>
      <c r="AH47" s="15">
        <v>0</v>
      </c>
      <c r="AI47" s="15">
        <v>0</v>
      </c>
      <c r="AJ47" s="15">
        <v>0</v>
      </c>
      <c r="AK47" s="15">
        <v>0</v>
      </c>
      <c r="AL47" s="15">
        <v>1</v>
      </c>
      <c r="AM47" s="20">
        <v>1</v>
      </c>
      <c r="AN47" s="20">
        <v>0</v>
      </c>
      <c r="AO47" s="20">
        <v>0</v>
      </c>
      <c r="AP47" s="20">
        <v>0</v>
      </c>
      <c r="AQ47" s="20">
        <v>0</v>
      </c>
      <c r="AR47" s="20">
        <v>0</v>
      </c>
      <c r="AS47" s="20">
        <v>0</v>
      </c>
      <c r="AT47" s="20">
        <v>0</v>
      </c>
      <c r="AU47" s="20">
        <v>0</v>
      </c>
      <c r="AV47" s="20">
        <v>0</v>
      </c>
      <c r="AW47" s="20">
        <v>0</v>
      </c>
      <c r="AX47" s="20">
        <v>0</v>
      </c>
    </row>
    <row r="48" spans="1:50" x14ac:dyDescent="0.3">
      <c r="A48" s="11">
        <v>8</v>
      </c>
      <c r="B48" s="11">
        <v>4</v>
      </c>
      <c r="C48" s="15">
        <v>0</v>
      </c>
      <c r="D48" s="15">
        <v>0</v>
      </c>
      <c r="E48" s="15">
        <v>0</v>
      </c>
      <c r="F48" s="15">
        <v>1</v>
      </c>
      <c r="G48" s="15">
        <v>1</v>
      </c>
      <c r="H48" s="15">
        <v>0</v>
      </c>
      <c r="I48" s="15">
        <v>0</v>
      </c>
      <c r="J48" s="15">
        <v>0</v>
      </c>
      <c r="K48" s="15">
        <v>1</v>
      </c>
      <c r="L48" s="15">
        <v>1</v>
      </c>
      <c r="M48" s="15">
        <v>0</v>
      </c>
      <c r="N48" s="15">
        <v>0</v>
      </c>
      <c r="O48" s="20">
        <v>0</v>
      </c>
      <c r="P48" s="20">
        <v>0</v>
      </c>
      <c r="Q48" s="20">
        <v>1</v>
      </c>
      <c r="R48" s="20">
        <v>0</v>
      </c>
      <c r="S48" s="20">
        <v>0</v>
      </c>
      <c r="T48" s="20">
        <v>1</v>
      </c>
      <c r="U48" s="20">
        <v>0</v>
      </c>
      <c r="V48" s="20">
        <v>0</v>
      </c>
      <c r="W48" s="20">
        <v>1</v>
      </c>
      <c r="X48" s="20">
        <v>0</v>
      </c>
      <c r="Y48" s="20">
        <v>0</v>
      </c>
      <c r="Z48" s="20">
        <v>0</v>
      </c>
      <c r="AA48" s="15">
        <v>0</v>
      </c>
      <c r="AB48" s="15">
        <v>0</v>
      </c>
      <c r="AC48" s="15">
        <v>0</v>
      </c>
      <c r="AD48" s="15">
        <v>0</v>
      </c>
      <c r="AE48" s="15">
        <v>0</v>
      </c>
      <c r="AF48" s="15">
        <v>0</v>
      </c>
      <c r="AG48" s="15">
        <v>0</v>
      </c>
      <c r="AH48" s="15">
        <v>0</v>
      </c>
      <c r="AI48" s="15">
        <v>1</v>
      </c>
      <c r="AJ48" s="15">
        <v>0</v>
      </c>
      <c r="AK48" s="15">
        <v>1</v>
      </c>
      <c r="AL48" s="15">
        <v>0</v>
      </c>
      <c r="AM48" s="20">
        <v>1</v>
      </c>
      <c r="AN48" s="20">
        <v>0</v>
      </c>
      <c r="AO48" s="20">
        <v>0</v>
      </c>
      <c r="AP48" s="20">
        <v>0</v>
      </c>
      <c r="AQ48" s="20">
        <v>0</v>
      </c>
      <c r="AR48" s="20">
        <v>0</v>
      </c>
      <c r="AS48" s="20">
        <v>0</v>
      </c>
      <c r="AT48" s="20">
        <v>0</v>
      </c>
      <c r="AU48" s="20">
        <v>0</v>
      </c>
      <c r="AV48" s="20">
        <v>0</v>
      </c>
      <c r="AW48" s="20">
        <v>0</v>
      </c>
      <c r="AX48" s="20">
        <v>0</v>
      </c>
    </row>
    <row r="49" spans="1:50" x14ac:dyDescent="0.3">
      <c r="A49" s="11">
        <v>8</v>
      </c>
      <c r="B49" s="11">
        <v>5</v>
      </c>
      <c r="C49" s="15">
        <v>0</v>
      </c>
      <c r="D49" s="15">
        <v>0</v>
      </c>
      <c r="E49" s="15">
        <v>0</v>
      </c>
      <c r="F49" s="15">
        <v>1</v>
      </c>
      <c r="G49" s="15">
        <v>0</v>
      </c>
      <c r="H49" s="15">
        <v>1</v>
      </c>
      <c r="I49" s="15">
        <v>0</v>
      </c>
      <c r="J49" s="15">
        <v>1</v>
      </c>
      <c r="K49" s="15">
        <v>0</v>
      </c>
      <c r="L49" s="15">
        <v>0</v>
      </c>
      <c r="M49" s="15">
        <v>1</v>
      </c>
      <c r="N49" s="15">
        <v>0</v>
      </c>
      <c r="O49" s="20">
        <v>0</v>
      </c>
      <c r="P49" s="20">
        <v>0</v>
      </c>
      <c r="Q49" s="20">
        <v>1</v>
      </c>
      <c r="R49" s="20">
        <v>0</v>
      </c>
      <c r="S49" s="20">
        <v>1</v>
      </c>
      <c r="T49" s="20">
        <v>0</v>
      </c>
      <c r="U49" s="20">
        <v>0</v>
      </c>
      <c r="V49" s="20">
        <v>0</v>
      </c>
      <c r="W49" s="20">
        <v>0</v>
      </c>
      <c r="X49" s="20">
        <v>0</v>
      </c>
      <c r="Y49" s="20">
        <v>1</v>
      </c>
      <c r="Z49" s="20">
        <v>0</v>
      </c>
      <c r="AA49" s="15">
        <v>0</v>
      </c>
      <c r="AB49" s="15">
        <v>0</v>
      </c>
      <c r="AC49" s="15">
        <v>0</v>
      </c>
      <c r="AD49" s="15">
        <v>0</v>
      </c>
      <c r="AE49" s="15">
        <v>0</v>
      </c>
      <c r="AF49" s="15">
        <v>0</v>
      </c>
      <c r="AG49" s="15">
        <v>0</v>
      </c>
      <c r="AH49" s="15">
        <v>0</v>
      </c>
      <c r="AI49" s="15">
        <v>1</v>
      </c>
      <c r="AJ49" s="15">
        <v>0</v>
      </c>
      <c r="AK49" s="15">
        <v>1</v>
      </c>
      <c r="AL49" s="15">
        <v>0</v>
      </c>
      <c r="AM49" s="20">
        <v>1</v>
      </c>
      <c r="AN49" s="20">
        <v>0</v>
      </c>
      <c r="AO49" s="20">
        <v>0</v>
      </c>
      <c r="AP49" s="20">
        <v>0</v>
      </c>
      <c r="AQ49" s="20">
        <v>0</v>
      </c>
      <c r="AR49" s="20">
        <v>0</v>
      </c>
      <c r="AS49" s="20">
        <v>0</v>
      </c>
      <c r="AT49" s="20">
        <v>0</v>
      </c>
      <c r="AU49" s="20">
        <v>0</v>
      </c>
      <c r="AV49" s="20">
        <v>0</v>
      </c>
      <c r="AW49" s="20">
        <v>0</v>
      </c>
      <c r="AX49" s="20">
        <v>0</v>
      </c>
    </row>
    <row r="50" spans="1:50" x14ac:dyDescent="0.3">
      <c r="A50" s="11">
        <v>8</v>
      </c>
      <c r="B50" s="11">
        <v>6</v>
      </c>
      <c r="C50" s="15">
        <v>0</v>
      </c>
      <c r="D50" s="15">
        <v>1</v>
      </c>
      <c r="E50" s="15">
        <v>0</v>
      </c>
      <c r="F50" s="15">
        <v>0</v>
      </c>
      <c r="G50" s="15">
        <v>0</v>
      </c>
      <c r="H50" s="15">
        <v>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20">
        <v>0</v>
      </c>
      <c r="P50" s="20">
        <v>0</v>
      </c>
      <c r="Q50" s="20">
        <v>1</v>
      </c>
      <c r="R50" s="20">
        <v>0</v>
      </c>
      <c r="S50" s="20">
        <v>0</v>
      </c>
      <c r="T50" s="20">
        <v>0</v>
      </c>
      <c r="U50" s="20">
        <v>0</v>
      </c>
      <c r="V50" s="20">
        <v>1</v>
      </c>
      <c r="W50" s="20">
        <v>0</v>
      </c>
      <c r="X50" s="20">
        <v>1</v>
      </c>
      <c r="Y50" s="20">
        <v>0</v>
      </c>
      <c r="Z50" s="20">
        <v>0</v>
      </c>
      <c r="AA50" s="15">
        <v>0</v>
      </c>
      <c r="AB50" s="15">
        <v>0</v>
      </c>
      <c r="AC50" s="15">
        <v>0</v>
      </c>
      <c r="AD50" s="15">
        <v>1</v>
      </c>
      <c r="AE50" s="15">
        <v>0</v>
      </c>
      <c r="AF50" s="15">
        <v>0</v>
      </c>
      <c r="AG50" s="15">
        <v>1</v>
      </c>
      <c r="AH50" s="15">
        <v>0</v>
      </c>
      <c r="AI50" s="15">
        <v>0</v>
      </c>
      <c r="AJ50" s="15">
        <v>0</v>
      </c>
      <c r="AK50" s="15">
        <v>0</v>
      </c>
      <c r="AL50" s="15">
        <v>1</v>
      </c>
      <c r="AM50" s="20">
        <v>1</v>
      </c>
      <c r="AN50" s="20">
        <v>0</v>
      </c>
      <c r="AO50" s="20">
        <v>0</v>
      </c>
      <c r="AP50" s="20">
        <v>0</v>
      </c>
      <c r="AQ50" s="20">
        <v>0</v>
      </c>
      <c r="AR50" s="20">
        <v>0</v>
      </c>
      <c r="AS50" s="20">
        <v>0</v>
      </c>
      <c r="AT50" s="20">
        <v>0</v>
      </c>
      <c r="AU50" s="20">
        <v>0</v>
      </c>
      <c r="AV50" s="20">
        <v>0</v>
      </c>
      <c r="AW50" s="20">
        <v>0</v>
      </c>
      <c r="AX50" s="20">
        <v>0</v>
      </c>
    </row>
    <row r="51" spans="1:50" x14ac:dyDescent="0.3">
      <c r="A51" s="11">
        <v>9</v>
      </c>
      <c r="B51" s="11">
        <v>1</v>
      </c>
      <c r="C51" s="15">
        <v>0</v>
      </c>
      <c r="D51" s="15">
        <v>1</v>
      </c>
      <c r="E51" s="15">
        <v>0</v>
      </c>
      <c r="F51" s="15">
        <v>0</v>
      </c>
      <c r="G51" s="15">
        <v>1</v>
      </c>
      <c r="H51" s="15">
        <v>0</v>
      </c>
      <c r="I51" s="15">
        <v>0</v>
      </c>
      <c r="J51" s="15">
        <v>1</v>
      </c>
      <c r="K51" s="15">
        <v>0</v>
      </c>
      <c r="L51" s="15">
        <v>0</v>
      </c>
      <c r="M51" s="15">
        <v>0</v>
      </c>
      <c r="N51" s="15">
        <v>1</v>
      </c>
      <c r="O51" s="20">
        <v>0</v>
      </c>
      <c r="P51" s="20">
        <v>1</v>
      </c>
      <c r="Q51" s="20">
        <v>0</v>
      </c>
      <c r="R51" s="20">
        <v>0</v>
      </c>
      <c r="S51" s="20">
        <v>0</v>
      </c>
      <c r="T51" s="20">
        <v>1</v>
      </c>
      <c r="U51" s="20">
        <v>1</v>
      </c>
      <c r="V51" s="20">
        <v>0</v>
      </c>
      <c r="W51" s="20">
        <v>0</v>
      </c>
      <c r="X51" s="20">
        <v>1</v>
      </c>
      <c r="Y51" s="20">
        <v>0</v>
      </c>
      <c r="Z51" s="20">
        <v>0</v>
      </c>
      <c r="AA51" s="15">
        <v>0</v>
      </c>
      <c r="AB51" s="15">
        <v>1</v>
      </c>
      <c r="AC51" s="15">
        <v>0</v>
      </c>
      <c r="AD51" s="15">
        <v>0</v>
      </c>
      <c r="AE51" s="15">
        <v>0</v>
      </c>
      <c r="AF51" s="15">
        <v>0</v>
      </c>
      <c r="AG51" s="15">
        <v>0</v>
      </c>
      <c r="AH51" s="15">
        <v>0</v>
      </c>
      <c r="AI51" s="15">
        <v>0</v>
      </c>
      <c r="AJ51" s="15">
        <v>0</v>
      </c>
      <c r="AK51" s="15">
        <v>0</v>
      </c>
      <c r="AL51" s="15">
        <v>0</v>
      </c>
      <c r="AM51" s="20">
        <v>1</v>
      </c>
      <c r="AN51" s="20">
        <v>0</v>
      </c>
      <c r="AO51" s="20">
        <v>0</v>
      </c>
      <c r="AP51" s="20">
        <v>0</v>
      </c>
      <c r="AQ51" s="20">
        <v>0</v>
      </c>
      <c r="AR51" s="20">
        <v>0</v>
      </c>
      <c r="AS51" s="20">
        <v>0</v>
      </c>
      <c r="AT51" s="20">
        <v>0</v>
      </c>
      <c r="AU51" s="20">
        <v>0</v>
      </c>
      <c r="AV51" s="20">
        <v>0</v>
      </c>
      <c r="AW51" s="20">
        <v>0</v>
      </c>
      <c r="AX51" s="20">
        <v>0</v>
      </c>
    </row>
    <row r="52" spans="1:50" x14ac:dyDescent="0.3">
      <c r="A52" s="11">
        <v>9</v>
      </c>
      <c r="B52" s="11">
        <v>2</v>
      </c>
      <c r="C52" s="15">
        <v>0</v>
      </c>
      <c r="D52" s="15">
        <v>0</v>
      </c>
      <c r="E52" s="15">
        <v>1</v>
      </c>
      <c r="F52" s="15">
        <v>0</v>
      </c>
      <c r="G52" s="15">
        <v>0</v>
      </c>
      <c r="H52" s="15">
        <v>1</v>
      </c>
      <c r="I52" s="15">
        <v>0</v>
      </c>
      <c r="J52" s="15">
        <v>0</v>
      </c>
      <c r="K52" s="15">
        <v>1</v>
      </c>
      <c r="L52" s="15">
        <v>0</v>
      </c>
      <c r="M52" s="15">
        <v>0</v>
      </c>
      <c r="N52" s="15">
        <v>0</v>
      </c>
      <c r="O52" s="20">
        <v>0</v>
      </c>
      <c r="P52" s="20">
        <v>0</v>
      </c>
      <c r="Q52" s="20">
        <v>0</v>
      </c>
      <c r="R52" s="20">
        <v>1</v>
      </c>
      <c r="S52" s="20">
        <v>0</v>
      </c>
      <c r="T52" s="20">
        <v>1</v>
      </c>
      <c r="U52" s="20">
        <v>0</v>
      </c>
      <c r="V52" s="20">
        <v>1</v>
      </c>
      <c r="W52" s="20">
        <v>0</v>
      </c>
      <c r="X52" s="20">
        <v>0</v>
      </c>
      <c r="Y52" s="20">
        <v>1</v>
      </c>
      <c r="Z52" s="20">
        <v>0</v>
      </c>
      <c r="AA52" s="15">
        <v>0</v>
      </c>
      <c r="AB52" s="15">
        <v>0</v>
      </c>
      <c r="AC52" s="15">
        <v>0</v>
      </c>
      <c r="AD52" s="15">
        <v>0</v>
      </c>
      <c r="AE52" s="15">
        <v>0</v>
      </c>
      <c r="AF52" s="15">
        <v>1</v>
      </c>
      <c r="AG52" s="15">
        <v>0</v>
      </c>
      <c r="AH52" s="15">
        <v>0</v>
      </c>
      <c r="AI52" s="15">
        <v>0</v>
      </c>
      <c r="AJ52" s="15">
        <v>0</v>
      </c>
      <c r="AK52" s="15">
        <v>0</v>
      </c>
      <c r="AL52" s="15">
        <v>1</v>
      </c>
      <c r="AM52" s="20">
        <v>1</v>
      </c>
      <c r="AN52" s="20">
        <v>0</v>
      </c>
      <c r="AO52" s="20">
        <v>0</v>
      </c>
      <c r="AP52" s="20">
        <v>0</v>
      </c>
      <c r="AQ52" s="20">
        <v>0</v>
      </c>
      <c r="AR52" s="20">
        <v>0</v>
      </c>
      <c r="AS52" s="20">
        <v>0</v>
      </c>
      <c r="AT52" s="20">
        <v>0</v>
      </c>
      <c r="AU52" s="20">
        <v>0</v>
      </c>
      <c r="AV52" s="20">
        <v>0</v>
      </c>
      <c r="AW52" s="20">
        <v>0</v>
      </c>
      <c r="AX52" s="20">
        <v>0</v>
      </c>
    </row>
    <row r="53" spans="1:50" x14ac:dyDescent="0.3">
      <c r="A53" s="11">
        <v>9</v>
      </c>
      <c r="B53" s="11">
        <v>3</v>
      </c>
      <c r="C53" s="15">
        <v>0</v>
      </c>
      <c r="D53" s="15">
        <v>0</v>
      </c>
      <c r="E53" s="15">
        <v>0</v>
      </c>
      <c r="F53" s="15">
        <v>1</v>
      </c>
      <c r="G53" s="15">
        <v>0</v>
      </c>
      <c r="H53" s="15">
        <v>0</v>
      </c>
      <c r="I53" s="15">
        <v>1</v>
      </c>
      <c r="J53" s="15">
        <v>0</v>
      </c>
      <c r="K53" s="15">
        <v>0</v>
      </c>
      <c r="L53" s="15">
        <v>0</v>
      </c>
      <c r="M53" s="15">
        <v>0</v>
      </c>
      <c r="N53" s="15">
        <v>1</v>
      </c>
      <c r="O53" s="20">
        <v>0</v>
      </c>
      <c r="P53" s="20">
        <v>1</v>
      </c>
      <c r="Q53" s="20">
        <v>0</v>
      </c>
      <c r="R53" s="20">
        <v>0</v>
      </c>
      <c r="S53" s="20">
        <v>1</v>
      </c>
      <c r="T53" s="20">
        <v>0</v>
      </c>
      <c r="U53" s="20">
        <v>0</v>
      </c>
      <c r="V53" s="20">
        <v>1</v>
      </c>
      <c r="W53" s="20">
        <v>0</v>
      </c>
      <c r="X53" s="20">
        <v>0</v>
      </c>
      <c r="Y53" s="20">
        <v>0</v>
      </c>
      <c r="Z53" s="20">
        <v>1</v>
      </c>
      <c r="AA53" s="15">
        <v>0</v>
      </c>
      <c r="AB53" s="15">
        <v>0</v>
      </c>
      <c r="AC53" s="15">
        <v>0</v>
      </c>
      <c r="AD53" s="15">
        <v>0</v>
      </c>
      <c r="AE53" s="15">
        <v>0</v>
      </c>
      <c r="AF53" s="15">
        <v>1</v>
      </c>
      <c r="AG53" s="15">
        <v>0</v>
      </c>
      <c r="AH53" s="15">
        <v>0</v>
      </c>
      <c r="AI53" s="15">
        <v>0</v>
      </c>
      <c r="AJ53" s="15">
        <v>0</v>
      </c>
      <c r="AK53" s="15">
        <v>0</v>
      </c>
      <c r="AL53" s="15">
        <v>1</v>
      </c>
      <c r="AM53" s="20">
        <v>1</v>
      </c>
      <c r="AN53" s="20">
        <v>0</v>
      </c>
      <c r="AO53" s="20">
        <v>0</v>
      </c>
      <c r="AP53" s="20">
        <v>0</v>
      </c>
      <c r="AQ53" s="20">
        <v>0</v>
      </c>
      <c r="AR53" s="20">
        <v>0</v>
      </c>
      <c r="AS53" s="20">
        <v>0</v>
      </c>
      <c r="AT53" s="20">
        <v>0</v>
      </c>
      <c r="AU53" s="20">
        <v>0</v>
      </c>
      <c r="AV53" s="20">
        <v>0</v>
      </c>
      <c r="AW53" s="20">
        <v>0</v>
      </c>
      <c r="AX53" s="20">
        <v>0</v>
      </c>
    </row>
    <row r="54" spans="1:50" x14ac:dyDescent="0.3">
      <c r="A54" s="11">
        <v>9</v>
      </c>
      <c r="B54" s="11">
        <v>4</v>
      </c>
      <c r="C54" s="15">
        <v>0</v>
      </c>
      <c r="D54" s="15">
        <v>0</v>
      </c>
      <c r="E54" s="15">
        <v>0</v>
      </c>
      <c r="F54" s="15">
        <v>1</v>
      </c>
      <c r="G54" s="15">
        <v>1</v>
      </c>
      <c r="H54" s="15">
        <v>0</v>
      </c>
      <c r="I54" s="15">
        <v>0</v>
      </c>
      <c r="J54" s="15">
        <v>0</v>
      </c>
      <c r="K54" s="15">
        <v>1</v>
      </c>
      <c r="L54" s="15">
        <v>1</v>
      </c>
      <c r="M54" s="15">
        <v>0</v>
      </c>
      <c r="N54" s="15">
        <v>0</v>
      </c>
      <c r="O54" s="20">
        <v>0</v>
      </c>
      <c r="P54" s="20">
        <v>0</v>
      </c>
      <c r="Q54" s="20">
        <v>1</v>
      </c>
      <c r="R54" s="20">
        <v>0</v>
      </c>
      <c r="S54" s="20">
        <v>0</v>
      </c>
      <c r="T54" s="20">
        <v>1</v>
      </c>
      <c r="U54" s="20">
        <v>0</v>
      </c>
      <c r="V54" s="20">
        <v>0</v>
      </c>
      <c r="W54" s="20">
        <v>1</v>
      </c>
      <c r="X54" s="20">
        <v>0</v>
      </c>
      <c r="Y54" s="20">
        <v>0</v>
      </c>
      <c r="Z54" s="20">
        <v>0</v>
      </c>
      <c r="AA54" s="15">
        <v>0</v>
      </c>
      <c r="AB54" s="15">
        <v>0</v>
      </c>
      <c r="AC54" s="15">
        <v>0</v>
      </c>
      <c r="AD54" s="15">
        <v>0</v>
      </c>
      <c r="AE54" s="15">
        <v>0</v>
      </c>
      <c r="AF54" s="15">
        <v>0</v>
      </c>
      <c r="AG54" s="15">
        <v>0</v>
      </c>
      <c r="AH54" s="15">
        <v>0</v>
      </c>
      <c r="AI54" s="15">
        <v>1</v>
      </c>
      <c r="AJ54" s="15">
        <v>0</v>
      </c>
      <c r="AK54" s="15">
        <v>1</v>
      </c>
      <c r="AL54" s="15">
        <v>0</v>
      </c>
      <c r="AM54" s="20">
        <v>1</v>
      </c>
      <c r="AN54" s="20">
        <v>0</v>
      </c>
      <c r="AO54" s="20">
        <v>0</v>
      </c>
      <c r="AP54" s="20">
        <v>0</v>
      </c>
      <c r="AQ54" s="20">
        <v>0</v>
      </c>
      <c r="AR54" s="20">
        <v>0</v>
      </c>
      <c r="AS54" s="20">
        <v>0</v>
      </c>
      <c r="AT54" s="20">
        <v>0</v>
      </c>
      <c r="AU54" s="20">
        <v>0</v>
      </c>
      <c r="AV54" s="20">
        <v>0</v>
      </c>
      <c r="AW54" s="20">
        <v>0</v>
      </c>
      <c r="AX54" s="20">
        <v>0</v>
      </c>
    </row>
    <row r="55" spans="1:50" x14ac:dyDescent="0.3">
      <c r="A55" s="11">
        <v>9</v>
      </c>
      <c r="B55" s="11">
        <v>5</v>
      </c>
      <c r="C55" s="15">
        <v>0</v>
      </c>
      <c r="D55" s="15">
        <v>0</v>
      </c>
      <c r="E55" s="15">
        <v>0</v>
      </c>
      <c r="F55" s="15">
        <v>1</v>
      </c>
      <c r="G55" s="15">
        <v>0</v>
      </c>
      <c r="H55" s="15">
        <v>1</v>
      </c>
      <c r="I55" s="15">
        <v>0</v>
      </c>
      <c r="J55" s="15">
        <v>1</v>
      </c>
      <c r="K55" s="15">
        <v>0</v>
      </c>
      <c r="L55" s="15">
        <v>0</v>
      </c>
      <c r="M55" s="15">
        <v>1</v>
      </c>
      <c r="N55" s="15">
        <v>0</v>
      </c>
      <c r="O55" s="20">
        <v>0</v>
      </c>
      <c r="P55" s="20">
        <v>0</v>
      </c>
      <c r="Q55" s="20">
        <v>1</v>
      </c>
      <c r="R55" s="20">
        <v>0</v>
      </c>
      <c r="S55" s="20">
        <v>1</v>
      </c>
      <c r="T55" s="20">
        <v>0</v>
      </c>
      <c r="U55" s="20">
        <v>0</v>
      </c>
      <c r="V55" s="20">
        <v>0</v>
      </c>
      <c r="W55" s="20">
        <v>0</v>
      </c>
      <c r="X55" s="20">
        <v>0</v>
      </c>
      <c r="Y55" s="20">
        <v>1</v>
      </c>
      <c r="Z55" s="20">
        <v>0</v>
      </c>
      <c r="AA55" s="15">
        <v>0</v>
      </c>
      <c r="AB55" s="15">
        <v>0</v>
      </c>
      <c r="AC55" s="15">
        <v>0</v>
      </c>
      <c r="AD55" s="15">
        <v>0</v>
      </c>
      <c r="AE55" s="15">
        <v>0</v>
      </c>
      <c r="AF55" s="15">
        <v>0</v>
      </c>
      <c r="AG55" s="15">
        <v>0</v>
      </c>
      <c r="AH55" s="15">
        <v>0</v>
      </c>
      <c r="AI55" s="15">
        <v>1</v>
      </c>
      <c r="AJ55" s="15">
        <v>0</v>
      </c>
      <c r="AK55" s="15">
        <v>1</v>
      </c>
      <c r="AL55" s="15">
        <v>0</v>
      </c>
      <c r="AM55" s="20">
        <v>1</v>
      </c>
      <c r="AN55" s="20">
        <v>0</v>
      </c>
      <c r="AO55" s="20">
        <v>0</v>
      </c>
      <c r="AP55" s="20">
        <v>0</v>
      </c>
      <c r="AQ55" s="20">
        <v>0</v>
      </c>
      <c r="AR55" s="20">
        <v>0</v>
      </c>
      <c r="AS55" s="20">
        <v>0</v>
      </c>
      <c r="AT55" s="20">
        <v>0</v>
      </c>
      <c r="AU55" s="20">
        <v>0</v>
      </c>
      <c r="AV55" s="20">
        <v>0</v>
      </c>
      <c r="AW55" s="20">
        <v>0</v>
      </c>
      <c r="AX55" s="20">
        <v>0</v>
      </c>
    </row>
    <row r="56" spans="1:50" x14ac:dyDescent="0.3">
      <c r="A56" s="11">
        <v>9</v>
      </c>
      <c r="B56" s="11">
        <v>6</v>
      </c>
      <c r="C56" s="15">
        <v>0</v>
      </c>
      <c r="D56" s="15">
        <v>1</v>
      </c>
      <c r="E56" s="15">
        <v>0</v>
      </c>
      <c r="F56" s="15">
        <v>0</v>
      </c>
      <c r="G56" s="15">
        <v>0</v>
      </c>
      <c r="H56" s="15">
        <v>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20">
        <v>0</v>
      </c>
      <c r="P56" s="20">
        <v>0</v>
      </c>
      <c r="Q56" s="20">
        <v>1</v>
      </c>
      <c r="R56" s="20">
        <v>0</v>
      </c>
      <c r="S56" s="20">
        <v>0</v>
      </c>
      <c r="T56" s="20">
        <v>0</v>
      </c>
      <c r="U56" s="20">
        <v>0</v>
      </c>
      <c r="V56" s="20">
        <v>1</v>
      </c>
      <c r="W56" s="20">
        <v>0</v>
      </c>
      <c r="X56" s="20">
        <v>1</v>
      </c>
      <c r="Y56" s="20">
        <v>0</v>
      </c>
      <c r="Z56" s="20">
        <v>0</v>
      </c>
      <c r="AA56" s="15">
        <v>0</v>
      </c>
      <c r="AB56" s="15">
        <v>0</v>
      </c>
      <c r="AC56" s="15">
        <v>0</v>
      </c>
      <c r="AD56" s="15">
        <v>1</v>
      </c>
      <c r="AE56" s="15">
        <v>0</v>
      </c>
      <c r="AF56" s="15">
        <v>0</v>
      </c>
      <c r="AG56" s="15">
        <v>1</v>
      </c>
      <c r="AH56" s="15">
        <v>0</v>
      </c>
      <c r="AI56" s="15">
        <v>0</v>
      </c>
      <c r="AJ56" s="15">
        <v>0</v>
      </c>
      <c r="AK56" s="15">
        <v>0</v>
      </c>
      <c r="AL56" s="15">
        <v>1</v>
      </c>
      <c r="AM56" s="20">
        <v>1</v>
      </c>
      <c r="AN56" s="20">
        <v>0</v>
      </c>
      <c r="AO56" s="20">
        <v>0</v>
      </c>
      <c r="AP56" s="20">
        <v>0</v>
      </c>
      <c r="AQ56" s="20">
        <v>0</v>
      </c>
      <c r="AR56" s="20">
        <v>0</v>
      </c>
      <c r="AS56" s="20">
        <v>0</v>
      </c>
      <c r="AT56" s="20">
        <v>0</v>
      </c>
      <c r="AU56" s="20">
        <v>0</v>
      </c>
      <c r="AV56" s="20">
        <v>0</v>
      </c>
      <c r="AW56" s="20">
        <v>0</v>
      </c>
      <c r="AX56" s="20">
        <v>0</v>
      </c>
    </row>
    <row r="57" spans="1:50" x14ac:dyDescent="0.3">
      <c r="A57" s="11">
        <v>10</v>
      </c>
      <c r="B57" s="11">
        <v>1</v>
      </c>
      <c r="C57" s="15">
        <v>0</v>
      </c>
      <c r="D57" s="15">
        <v>1</v>
      </c>
      <c r="E57" s="15">
        <v>0</v>
      </c>
      <c r="F57" s="15">
        <v>0</v>
      </c>
      <c r="G57" s="15">
        <v>1</v>
      </c>
      <c r="H57" s="15">
        <v>0</v>
      </c>
      <c r="I57" s="15">
        <v>0</v>
      </c>
      <c r="J57" s="15">
        <v>1</v>
      </c>
      <c r="K57" s="15">
        <v>0</v>
      </c>
      <c r="L57" s="15">
        <v>0</v>
      </c>
      <c r="M57" s="15">
        <v>0</v>
      </c>
      <c r="N57" s="15">
        <v>1</v>
      </c>
      <c r="O57" s="20">
        <v>0</v>
      </c>
      <c r="P57" s="20">
        <v>1</v>
      </c>
      <c r="Q57" s="20">
        <v>0</v>
      </c>
      <c r="R57" s="20">
        <v>0</v>
      </c>
      <c r="S57" s="20">
        <v>0</v>
      </c>
      <c r="T57" s="20">
        <v>1</v>
      </c>
      <c r="U57" s="20">
        <v>1</v>
      </c>
      <c r="V57" s="20">
        <v>0</v>
      </c>
      <c r="W57" s="20">
        <v>0</v>
      </c>
      <c r="X57" s="20">
        <v>1</v>
      </c>
      <c r="Y57" s="20">
        <v>0</v>
      </c>
      <c r="Z57" s="20">
        <v>0</v>
      </c>
      <c r="AA57" s="15">
        <v>0</v>
      </c>
      <c r="AB57" s="15">
        <v>1</v>
      </c>
      <c r="AC57" s="15">
        <v>0</v>
      </c>
      <c r="AD57" s="15">
        <v>0</v>
      </c>
      <c r="AE57" s="15">
        <v>0</v>
      </c>
      <c r="AF57" s="15">
        <v>0</v>
      </c>
      <c r="AG57" s="15">
        <v>0</v>
      </c>
      <c r="AH57" s="15">
        <v>0</v>
      </c>
      <c r="AI57" s="15">
        <v>0</v>
      </c>
      <c r="AJ57" s="15">
        <v>0</v>
      </c>
      <c r="AK57" s="15">
        <v>0</v>
      </c>
      <c r="AL57" s="15">
        <v>0</v>
      </c>
      <c r="AM57" s="20">
        <v>1</v>
      </c>
      <c r="AN57" s="20">
        <v>0</v>
      </c>
      <c r="AO57" s="20">
        <v>0</v>
      </c>
      <c r="AP57" s="20">
        <v>0</v>
      </c>
      <c r="AQ57" s="20">
        <v>0</v>
      </c>
      <c r="AR57" s="20">
        <v>0</v>
      </c>
      <c r="AS57" s="20">
        <v>0</v>
      </c>
      <c r="AT57" s="20">
        <v>0</v>
      </c>
      <c r="AU57" s="20">
        <v>0</v>
      </c>
      <c r="AV57" s="20">
        <v>0</v>
      </c>
      <c r="AW57" s="20">
        <v>0</v>
      </c>
      <c r="AX57" s="20">
        <v>0</v>
      </c>
    </row>
    <row r="58" spans="1:50" x14ac:dyDescent="0.3">
      <c r="A58" s="11">
        <v>10</v>
      </c>
      <c r="B58" s="11">
        <v>2</v>
      </c>
      <c r="C58" s="15">
        <v>0</v>
      </c>
      <c r="D58" s="15">
        <v>0</v>
      </c>
      <c r="E58" s="15">
        <v>1</v>
      </c>
      <c r="F58" s="15">
        <v>0</v>
      </c>
      <c r="G58" s="15">
        <v>0</v>
      </c>
      <c r="H58" s="15">
        <v>1</v>
      </c>
      <c r="I58" s="15">
        <v>0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20">
        <v>0</v>
      </c>
      <c r="P58" s="20">
        <v>0</v>
      </c>
      <c r="Q58" s="20">
        <v>0</v>
      </c>
      <c r="R58" s="20">
        <v>1</v>
      </c>
      <c r="S58" s="20">
        <v>0</v>
      </c>
      <c r="T58" s="20">
        <v>1</v>
      </c>
      <c r="U58" s="20">
        <v>0</v>
      </c>
      <c r="V58" s="20">
        <v>1</v>
      </c>
      <c r="W58" s="20">
        <v>0</v>
      </c>
      <c r="X58" s="20">
        <v>0</v>
      </c>
      <c r="Y58" s="20">
        <v>1</v>
      </c>
      <c r="Z58" s="20">
        <v>0</v>
      </c>
      <c r="AA58" s="15">
        <v>0</v>
      </c>
      <c r="AB58" s="15">
        <v>0</v>
      </c>
      <c r="AC58" s="15">
        <v>0</v>
      </c>
      <c r="AD58" s="15">
        <v>0</v>
      </c>
      <c r="AE58" s="15">
        <v>0</v>
      </c>
      <c r="AF58" s="15">
        <v>1</v>
      </c>
      <c r="AG58" s="15">
        <v>0</v>
      </c>
      <c r="AH58" s="15">
        <v>0</v>
      </c>
      <c r="AI58" s="15">
        <v>0</v>
      </c>
      <c r="AJ58" s="15">
        <v>0</v>
      </c>
      <c r="AK58" s="15">
        <v>0</v>
      </c>
      <c r="AL58" s="15">
        <v>1</v>
      </c>
      <c r="AM58" s="20">
        <v>1</v>
      </c>
      <c r="AN58" s="20">
        <v>0</v>
      </c>
      <c r="AO58" s="20">
        <v>0</v>
      </c>
      <c r="AP58" s="20">
        <v>0</v>
      </c>
      <c r="AQ58" s="20">
        <v>0</v>
      </c>
      <c r="AR58" s="20">
        <v>0</v>
      </c>
      <c r="AS58" s="20">
        <v>0</v>
      </c>
      <c r="AT58" s="20">
        <v>0</v>
      </c>
      <c r="AU58" s="20">
        <v>0</v>
      </c>
      <c r="AV58" s="20">
        <v>0</v>
      </c>
      <c r="AW58" s="20">
        <v>0</v>
      </c>
      <c r="AX58" s="20">
        <v>0</v>
      </c>
    </row>
    <row r="59" spans="1:50" x14ac:dyDescent="0.3">
      <c r="A59" s="11">
        <v>10</v>
      </c>
      <c r="B59" s="11">
        <v>3</v>
      </c>
      <c r="C59" s="15">
        <v>0</v>
      </c>
      <c r="D59" s="15">
        <v>0</v>
      </c>
      <c r="E59" s="15">
        <v>0</v>
      </c>
      <c r="F59" s="15">
        <v>1</v>
      </c>
      <c r="G59" s="15">
        <v>0</v>
      </c>
      <c r="H59" s="15">
        <v>0</v>
      </c>
      <c r="I59" s="15">
        <v>1</v>
      </c>
      <c r="J59" s="15">
        <v>0</v>
      </c>
      <c r="K59" s="15">
        <v>0</v>
      </c>
      <c r="L59" s="15">
        <v>0</v>
      </c>
      <c r="M59" s="15">
        <v>0</v>
      </c>
      <c r="N59" s="15">
        <v>1</v>
      </c>
      <c r="O59" s="20">
        <v>0</v>
      </c>
      <c r="P59" s="20">
        <v>1</v>
      </c>
      <c r="Q59" s="20">
        <v>0</v>
      </c>
      <c r="R59" s="20">
        <v>0</v>
      </c>
      <c r="S59" s="20">
        <v>1</v>
      </c>
      <c r="T59" s="20">
        <v>0</v>
      </c>
      <c r="U59" s="20">
        <v>0</v>
      </c>
      <c r="V59" s="20">
        <v>1</v>
      </c>
      <c r="W59" s="20">
        <v>0</v>
      </c>
      <c r="X59" s="20">
        <v>0</v>
      </c>
      <c r="Y59" s="20">
        <v>0</v>
      </c>
      <c r="Z59" s="20">
        <v>1</v>
      </c>
      <c r="AA59" s="15">
        <v>0</v>
      </c>
      <c r="AB59" s="15">
        <v>0</v>
      </c>
      <c r="AC59" s="15">
        <v>0</v>
      </c>
      <c r="AD59" s="15">
        <v>0</v>
      </c>
      <c r="AE59" s="15">
        <v>0</v>
      </c>
      <c r="AF59" s="15">
        <v>1</v>
      </c>
      <c r="AG59" s="15">
        <v>0</v>
      </c>
      <c r="AH59" s="15">
        <v>0</v>
      </c>
      <c r="AI59" s="15">
        <v>0</v>
      </c>
      <c r="AJ59" s="15">
        <v>0</v>
      </c>
      <c r="AK59" s="15">
        <v>0</v>
      </c>
      <c r="AL59" s="15">
        <v>1</v>
      </c>
      <c r="AM59" s="20">
        <v>1</v>
      </c>
      <c r="AN59" s="20">
        <v>0</v>
      </c>
      <c r="AO59" s="20">
        <v>0</v>
      </c>
      <c r="AP59" s="20">
        <v>0</v>
      </c>
      <c r="AQ59" s="20">
        <v>0</v>
      </c>
      <c r="AR59" s="20">
        <v>0</v>
      </c>
      <c r="AS59" s="20">
        <v>0</v>
      </c>
      <c r="AT59" s="20">
        <v>0</v>
      </c>
      <c r="AU59" s="20">
        <v>0</v>
      </c>
      <c r="AV59" s="20">
        <v>0</v>
      </c>
      <c r="AW59" s="20">
        <v>0</v>
      </c>
      <c r="AX59" s="20">
        <v>0</v>
      </c>
    </row>
    <row r="60" spans="1:50" x14ac:dyDescent="0.3">
      <c r="A60" s="11">
        <v>10</v>
      </c>
      <c r="B60" s="11">
        <v>4</v>
      </c>
      <c r="C60" s="15">
        <v>0</v>
      </c>
      <c r="D60" s="15">
        <v>0</v>
      </c>
      <c r="E60" s="15">
        <v>0</v>
      </c>
      <c r="F60" s="15">
        <v>1</v>
      </c>
      <c r="G60" s="15">
        <v>1</v>
      </c>
      <c r="H60" s="15">
        <v>0</v>
      </c>
      <c r="I60" s="15">
        <v>0</v>
      </c>
      <c r="J60" s="15">
        <v>0</v>
      </c>
      <c r="K60" s="15">
        <v>1</v>
      </c>
      <c r="L60" s="15">
        <v>1</v>
      </c>
      <c r="M60" s="15">
        <v>0</v>
      </c>
      <c r="N60" s="15">
        <v>0</v>
      </c>
      <c r="O60" s="20">
        <v>0</v>
      </c>
      <c r="P60" s="20">
        <v>0</v>
      </c>
      <c r="Q60" s="20">
        <v>1</v>
      </c>
      <c r="R60" s="20">
        <v>0</v>
      </c>
      <c r="S60" s="20">
        <v>0</v>
      </c>
      <c r="T60" s="20">
        <v>1</v>
      </c>
      <c r="U60" s="20">
        <v>0</v>
      </c>
      <c r="V60" s="20">
        <v>0</v>
      </c>
      <c r="W60" s="20">
        <v>1</v>
      </c>
      <c r="X60" s="20">
        <v>0</v>
      </c>
      <c r="Y60" s="20">
        <v>0</v>
      </c>
      <c r="Z60" s="20">
        <v>0</v>
      </c>
      <c r="AA60" s="15">
        <v>0</v>
      </c>
      <c r="AB60" s="15">
        <v>0</v>
      </c>
      <c r="AC60" s="15">
        <v>0</v>
      </c>
      <c r="AD60" s="15">
        <v>0</v>
      </c>
      <c r="AE60" s="15">
        <v>0</v>
      </c>
      <c r="AF60" s="15">
        <v>0</v>
      </c>
      <c r="AG60" s="15">
        <v>0</v>
      </c>
      <c r="AH60" s="15">
        <v>0</v>
      </c>
      <c r="AI60" s="15">
        <v>1</v>
      </c>
      <c r="AJ60" s="15">
        <v>0</v>
      </c>
      <c r="AK60" s="15">
        <v>1</v>
      </c>
      <c r="AL60" s="15">
        <v>0</v>
      </c>
      <c r="AM60" s="20">
        <v>1</v>
      </c>
      <c r="AN60" s="20">
        <v>0</v>
      </c>
      <c r="AO60" s="20">
        <v>0</v>
      </c>
      <c r="AP60" s="20">
        <v>0</v>
      </c>
      <c r="AQ60" s="20">
        <v>0</v>
      </c>
      <c r="AR60" s="20">
        <v>0</v>
      </c>
      <c r="AS60" s="20">
        <v>0</v>
      </c>
      <c r="AT60" s="20">
        <v>0</v>
      </c>
      <c r="AU60" s="20">
        <v>0</v>
      </c>
      <c r="AV60" s="20">
        <v>0</v>
      </c>
      <c r="AW60" s="20">
        <v>0</v>
      </c>
      <c r="AX60" s="20">
        <v>0</v>
      </c>
    </row>
    <row r="61" spans="1:50" x14ac:dyDescent="0.3">
      <c r="A61" s="11">
        <v>10</v>
      </c>
      <c r="B61" s="11">
        <v>5</v>
      </c>
      <c r="C61" s="15">
        <v>0</v>
      </c>
      <c r="D61" s="15">
        <v>0</v>
      </c>
      <c r="E61" s="15">
        <v>0</v>
      </c>
      <c r="F61" s="15">
        <v>1</v>
      </c>
      <c r="G61" s="15">
        <v>0</v>
      </c>
      <c r="H61" s="15">
        <v>1</v>
      </c>
      <c r="I61" s="15">
        <v>0</v>
      </c>
      <c r="J61" s="15">
        <v>1</v>
      </c>
      <c r="K61" s="15">
        <v>0</v>
      </c>
      <c r="L61" s="15">
        <v>0</v>
      </c>
      <c r="M61" s="15">
        <v>1</v>
      </c>
      <c r="N61" s="15">
        <v>0</v>
      </c>
      <c r="O61" s="20">
        <v>0</v>
      </c>
      <c r="P61" s="20">
        <v>0</v>
      </c>
      <c r="Q61" s="20">
        <v>1</v>
      </c>
      <c r="R61" s="20">
        <v>0</v>
      </c>
      <c r="S61" s="20">
        <v>1</v>
      </c>
      <c r="T61" s="20">
        <v>0</v>
      </c>
      <c r="U61" s="20">
        <v>0</v>
      </c>
      <c r="V61" s="20">
        <v>0</v>
      </c>
      <c r="W61" s="20">
        <v>0</v>
      </c>
      <c r="X61" s="20">
        <v>0</v>
      </c>
      <c r="Y61" s="20">
        <v>1</v>
      </c>
      <c r="Z61" s="20">
        <v>0</v>
      </c>
      <c r="AA61" s="15">
        <v>0</v>
      </c>
      <c r="AB61" s="15">
        <v>0</v>
      </c>
      <c r="AC61" s="15">
        <v>0</v>
      </c>
      <c r="AD61" s="15">
        <v>0</v>
      </c>
      <c r="AE61" s="15">
        <v>0</v>
      </c>
      <c r="AF61" s="15">
        <v>0</v>
      </c>
      <c r="AG61" s="15">
        <v>0</v>
      </c>
      <c r="AH61" s="15">
        <v>0</v>
      </c>
      <c r="AI61" s="15">
        <v>1</v>
      </c>
      <c r="AJ61" s="15">
        <v>0</v>
      </c>
      <c r="AK61" s="15">
        <v>1</v>
      </c>
      <c r="AL61" s="15">
        <v>0</v>
      </c>
      <c r="AM61" s="20">
        <v>1</v>
      </c>
      <c r="AN61" s="20">
        <v>0</v>
      </c>
      <c r="AO61" s="20">
        <v>0</v>
      </c>
      <c r="AP61" s="20">
        <v>0</v>
      </c>
      <c r="AQ61" s="20">
        <v>0</v>
      </c>
      <c r="AR61" s="20">
        <v>0</v>
      </c>
      <c r="AS61" s="20">
        <v>0</v>
      </c>
      <c r="AT61" s="20">
        <v>0</v>
      </c>
      <c r="AU61" s="20">
        <v>0</v>
      </c>
      <c r="AV61" s="20">
        <v>0</v>
      </c>
      <c r="AW61" s="20">
        <v>0</v>
      </c>
      <c r="AX61" s="20">
        <v>0</v>
      </c>
    </row>
    <row r="62" spans="1:50" x14ac:dyDescent="0.3">
      <c r="A62" s="11">
        <v>10</v>
      </c>
      <c r="B62" s="11">
        <v>6</v>
      </c>
      <c r="C62" s="15">
        <v>0</v>
      </c>
      <c r="D62" s="15">
        <v>1</v>
      </c>
      <c r="E62" s="15">
        <v>0</v>
      </c>
      <c r="F62" s="15">
        <v>0</v>
      </c>
      <c r="G62" s="15">
        <v>0</v>
      </c>
      <c r="H62" s="15">
        <v>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0</v>
      </c>
      <c r="O62" s="20">
        <v>0</v>
      </c>
      <c r="P62" s="20">
        <v>0</v>
      </c>
      <c r="Q62" s="20">
        <v>1</v>
      </c>
      <c r="R62" s="20">
        <v>0</v>
      </c>
      <c r="S62" s="20">
        <v>0</v>
      </c>
      <c r="T62" s="20">
        <v>0</v>
      </c>
      <c r="U62" s="20">
        <v>0</v>
      </c>
      <c r="V62" s="20">
        <v>1</v>
      </c>
      <c r="W62" s="20">
        <v>0</v>
      </c>
      <c r="X62" s="20">
        <v>1</v>
      </c>
      <c r="Y62" s="20">
        <v>0</v>
      </c>
      <c r="Z62" s="20">
        <v>0</v>
      </c>
      <c r="AA62" s="15">
        <v>0</v>
      </c>
      <c r="AB62" s="15">
        <v>0</v>
      </c>
      <c r="AC62" s="15">
        <v>0</v>
      </c>
      <c r="AD62" s="15">
        <v>1</v>
      </c>
      <c r="AE62" s="15">
        <v>0</v>
      </c>
      <c r="AF62" s="15">
        <v>0</v>
      </c>
      <c r="AG62" s="15">
        <v>1</v>
      </c>
      <c r="AH62" s="15">
        <v>0</v>
      </c>
      <c r="AI62" s="15">
        <v>0</v>
      </c>
      <c r="AJ62" s="15">
        <v>0</v>
      </c>
      <c r="AK62" s="15">
        <v>0</v>
      </c>
      <c r="AL62" s="15">
        <v>1</v>
      </c>
      <c r="AM62" s="20">
        <v>1</v>
      </c>
      <c r="AN62" s="20">
        <v>0</v>
      </c>
      <c r="AO62" s="20">
        <v>0</v>
      </c>
      <c r="AP62" s="20">
        <v>0</v>
      </c>
      <c r="AQ62" s="20">
        <v>0</v>
      </c>
      <c r="AR62" s="20">
        <v>0</v>
      </c>
      <c r="AS62" s="20">
        <v>0</v>
      </c>
      <c r="AT62" s="20">
        <v>0</v>
      </c>
      <c r="AU62" s="20">
        <v>0</v>
      </c>
      <c r="AV62" s="20">
        <v>0</v>
      </c>
      <c r="AW62" s="20">
        <v>0</v>
      </c>
      <c r="AX62" s="20">
        <v>0</v>
      </c>
    </row>
    <row r="63" spans="1:50" x14ac:dyDescent="0.3">
      <c r="A63" s="11">
        <v>11</v>
      </c>
      <c r="B63" s="11">
        <v>1</v>
      </c>
      <c r="C63" s="15">
        <v>0</v>
      </c>
      <c r="D63" s="15">
        <v>1</v>
      </c>
      <c r="E63" s="15">
        <v>0</v>
      </c>
      <c r="F63" s="15">
        <v>0</v>
      </c>
      <c r="G63" s="15">
        <v>1</v>
      </c>
      <c r="H63" s="15">
        <v>0</v>
      </c>
      <c r="I63" s="15">
        <v>0</v>
      </c>
      <c r="J63" s="15">
        <v>1</v>
      </c>
      <c r="K63" s="15">
        <v>0</v>
      </c>
      <c r="L63" s="15">
        <v>0</v>
      </c>
      <c r="M63" s="15">
        <v>0</v>
      </c>
      <c r="N63" s="15">
        <v>1</v>
      </c>
      <c r="O63" s="20">
        <v>0</v>
      </c>
      <c r="P63" s="20">
        <v>1</v>
      </c>
      <c r="Q63" s="20">
        <v>0</v>
      </c>
      <c r="R63" s="20">
        <v>0</v>
      </c>
      <c r="S63" s="20">
        <v>0</v>
      </c>
      <c r="T63" s="20">
        <v>1</v>
      </c>
      <c r="U63" s="20">
        <v>1</v>
      </c>
      <c r="V63" s="20">
        <v>0</v>
      </c>
      <c r="W63" s="20">
        <v>0</v>
      </c>
      <c r="X63" s="20">
        <v>1</v>
      </c>
      <c r="Y63" s="20">
        <v>0</v>
      </c>
      <c r="Z63" s="20">
        <v>0</v>
      </c>
      <c r="AA63" s="15">
        <v>0</v>
      </c>
      <c r="AB63" s="15">
        <v>1</v>
      </c>
      <c r="AC63" s="15">
        <v>0</v>
      </c>
      <c r="AD63" s="15">
        <v>0</v>
      </c>
      <c r="AE63" s="15">
        <v>0</v>
      </c>
      <c r="AF63" s="15">
        <v>0</v>
      </c>
      <c r="AG63" s="15">
        <v>0</v>
      </c>
      <c r="AH63" s="15">
        <v>0</v>
      </c>
      <c r="AI63" s="15">
        <v>0</v>
      </c>
      <c r="AJ63" s="15">
        <v>0</v>
      </c>
      <c r="AK63" s="15">
        <v>0</v>
      </c>
      <c r="AL63" s="15">
        <v>0</v>
      </c>
      <c r="AM63" s="20">
        <v>1</v>
      </c>
      <c r="AN63" s="20">
        <v>0</v>
      </c>
      <c r="AO63" s="20">
        <v>0</v>
      </c>
      <c r="AP63" s="20">
        <v>0</v>
      </c>
      <c r="AQ63" s="20">
        <v>0</v>
      </c>
      <c r="AR63" s="20">
        <v>0</v>
      </c>
      <c r="AS63" s="20">
        <v>0</v>
      </c>
      <c r="AT63" s="20">
        <v>0</v>
      </c>
      <c r="AU63" s="20">
        <v>0</v>
      </c>
      <c r="AV63" s="20">
        <v>0</v>
      </c>
      <c r="AW63" s="20">
        <v>0</v>
      </c>
      <c r="AX63" s="20">
        <v>0</v>
      </c>
    </row>
    <row r="64" spans="1:50" x14ac:dyDescent="0.3">
      <c r="A64" s="11">
        <v>11</v>
      </c>
      <c r="B64" s="11">
        <v>2</v>
      </c>
      <c r="C64" s="15">
        <v>0</v>
      </c>
      <c r="D64" s="15">
        <v>0</v>
      </c>
      <c r="E64" s="15">
        <v>1</v>
      </c>
      <c r="F64" s="15">
        <v>0</v>
      </c>
      <c r="G64" s="15">
        <v>0</v>
      </c>
      <c r="H64" s="15">
        <v>1</v>
      </c>
      <c r="I64" s="15">
        <v>0</v>
      </c>
      <c r="J64" s="15">
        <v>0</v>
      </c>
      <c r="K64" s="15">
        <v>1</v>
      </c>
      <c r="L64" s="15">
        <v>0</v>
      </c>
      <c r="M64" s="15">
        <v>0</v>
      </c>
      <c r="N64" s="15">
        <v>0</v>
      </c>
      <c r="O64" s="20">
        <v>0</v>
      </c>
      <c r="P64" s="20">
        <v>0</v>
      </c>
      <c r="Q64" s="20">
        <v>0</v>
      </c>
      <c r="R64" s="20">
        <v>1</v>
      </c>
      <c r="S64" s="20">
        <v>0</v>
      </c>
      <c r="T64" s="20">
        <v>1</v>
      </c>
      <c r="U64" s="20">
        <v>0</v>
      </c>
      <c r="V64" s="20">
        <v>1</v>
      </c>
      <c r="W64" s="20">
        <v>0</v>
      </c>
      <c r="X64" s="20">
        <v>0</v>
      </c>
      <c r="Y64" s="20">
        <v>1</v>
      </c>
      <c r="Z64" s="20">
        <v>0</v>
      </c>
      <c r="AA64" s="15">
        <v>0</v>
      </c>
      <c r="AB64" s="15">
        <v>0</v>
      </c>
      <c r="AC64" s="15">
        <v>0</v>
      </c>
      <c r="AD64" s="15">
        <v>0</v>
      </c>
      <c r="AE64" s="15">
        <v>0</v>
      </c>
      <c r="AF64" s="15">
        <v>1</v>
      </c>
      <c r="AG64" s="15">
        <v>0</v>
      </c>
      <c r="AH64" s="15">
        <v>0</v>
      </c>
      <c r="AI64" s="15">
        <v>0</v>
      </c>
      <c r="AJ64" s="15">
        <v>0</v>
      </c>
      <c r="AK64" s="15">
        <v>0</v>
      </c>
      <c r="AL64" s="15">
        <v>1</v>
      </c>
      <c r="AM64" s="20">
        <v>1</v>
      </c>
      <c r="AN64" s="20">
        <v>0</v>
      </c>
      <c r="AO64" s="20">
        <v>0</v>
      </c>
      <c r="AP64" s="20">
        <v>0</v>
      </c>
      <c r="AQ64" s="20">
        <v>0</v>
      </c>
      <c r="AR64" s="20">
        <v>0</v>
      </c>
      <c r="AS64" s="20">
        <v>0</v>
      </c>
      <c r="AT64" s="20">
        <v>0</v>
      </c>
      <c r="AU64" s="20">
        <v>0</v>
      </c>
      <c r="AV64" s="20">
        <v>0</v>
      </c>
      <c r="AW64" s="20">
        <v>0</v>
      </c>
      <c r="AX64" s="20">
        <v>0</v>
      </c>
    </row>
    <row r="65" spans="1:50" x14ac:dyDescent="0.3">
      <c r="A65" s="11">
        <v>11</v>
      </c>
      <c r="B65" s="11">
        <v>3</v>
      </c>
      <c r="C65" s="15">
        <v>0</v>
      </c>
      <c r="D65" s="15">
        <v>0</v>
      </c>
      <c r="E65" s="15">
        <v>0</v>
      </c>
      <c r="F65" s="15">
        <v>1</v>
      </c>
      <c r="G65" s="15">
        <v>0</v>
      </c>
      <c r="H65" s="15">
        <v>0</v>
      </c>
      <c r="I65" s="15">
        <v>1</v>
      </c>
      <c r="J65" s="15">
        <v>0</v>
      </c>
      <c r="K65" s="15">
        <v>0</v>
      </c>
      <c r="L65" s="15">
        <v>0</v>
      </c>
      <c r="M65" s="15">
        <v>0</v>
      </c>
      <c r="N65" s="15">
        <v>1</v>
      </c>
      <c r="O65" s="20">
        <v>0</v>
      </c>
      <c r="P65" s="20">
        <v>1</v>
      </c>
      <c r="Q65" s="20">
        <v>0</v>
      </c>
      <c r="R65" s="20">
        <v>0</v>
      </c>
      <c r="S65" s="20">
        <v>1</v>
      </c>
      <c r="T65" s="20">
        <v>0</v>
      </c>
      <c r="U65" s="20">
        <v>0</v>
      </c>
      <c r="V65" s="20">
        <v>1</v>
      </c>
      <c r="W65" s="20">
        <v>0</v>
      </c>
      <c r="X65" s="20">
        <v>0</v>
      </c>
      <c r="Y65" s="20">
        <v>0</v>
      </c>
      <c r="Z65" s="20">
        <v>1</v>
      </c>
      <c r="AA65" s="15">
        <v>0</v>
      </c>
      <c r="AB65" s="15">
        <v>0</v>
      </c>
      <c r="AC65" s="15">
        <v>0</v>
      </c>
      <c r="AD65" s="15">
        <v>0</v>
      </c>
      <c r="AE65" s="15">
        <v>0</v>
      </c>
      <c r="AF65" s="15">
        <v>1</v>
      </c>
      <c r="AG65" s="15">
        <v>0</v>
      </c>
      <c r="AH65" s="15">
        <v>0</v>
      </c>
      <c r="AI65" s="15">
        <v>0</v>
      </c>
      <c r="AJ65" s="15">
        <v>0</v>
      </c>
      <c r="AK65" s="15">
        <v>0</v>
      </c>
      <c r="AL65" s="15">
        <v>1</v>
      </c>
      <c r="AM65" s="20">
        <v>1</v>
      </c>
      <c r="AN65" s="20">
        <v>0</v>
      </c>
      <c r="AO65" s="20">
        <v>0</v>
      </c>
      <c r="AP65" s="20">
        <v>0</v>
      </c>
      <c r="AQ65" s="20">
        <v>0</v>
      </c>
      <c r="AR65" s="20">
        <v>0</v>
      </c>
      <c r="AS65" s="20">
        <v>0</v>
      </c>
      <c r="AT65" s="20">
        <v>0</v>
      </c>
      <c r="AU65" s="20">
        <v>0</v>
      </c>
      <c r="AV65" s="20">
        <v>0</v>
      </c>
      <c r="AW65" s="20">
        <v>0</v>
      </c>
      <c r="AX65" s="20">
        <v>0</v>
      </c>
    </row>
    <row r="66" spans="1:50" x14ac:dyDescent="0.3">
      <c r="A66" s="11">
        <v>11</v>
      </c>
      <c r="B66" s="11">
        <v>4</v>
      </c>
      <c r="C66" s="15">
        <v>0</v>
      </c>
      <c r="D66" s="15">
        <v>0</v>
      </c>
      <c r="E66" s="15">
        <v>0</v>
      </c>
      <c r="F66" s="15">
        <v>1</v>
      </c>
      <c r="G66" s="15">
        <v>1</v>
      </c>
      <c r="H66" s="15">
        <v>0</v>
      </c>
      <c r="I66" s="15">
        <v>0</v>
      </c>
      <c r="J66" s="15">
        <v>0</v>
      </c>
      <c r="K66" s="15">
        <v>1</v>
      </c>
      <c r="L66" s="15">
        <v>1</v>
      </c>
      <c r="M66" s="15">
        <v>0</v>
      </c>
      <c r="N66" s="15">
        <v>0</v>
      </c>
      <c r="O66" s="20">
        <v>0</v>
      </c>
      <c r="P66" s="20">
        <v>0</v>
      </c>
      <c r="Q66" s="20">
        <v>1</v>
      </c>
      <c r="R66" s="20">
        <v>0</v>
      </c>
      <c r="S66" s="20">
        <v>0</v>
      </c>
      <c r="T66" s="20">
        <v>1</v>
      </c>
      <c r="U66" s="20">
        <v>0</v>
      </c>
      <c r="V66" s="20">
        <v>0</v>
      </c>
      <c r="W66" s="20">
        <v>1</v>
      </c>
      <c r="X66" s="20">
        <v>0</v>
      </c>
      <c r="Y66" s="20">
        <v>0</v>
      </c>
      <c r="Z66" s="20">
        <v>0</v>
      </c>
      <c r="AA66" s="15">
        <v>0</v>
      </c>
      <c r="AB66" s="15">
        <v>0</v>
      </c>
      <c r="AC66" s="15">
        <v>0</v>
      </c>
      <c r="AD66" s="15">
        <v>0</v>
      </c>
      <c r="AE66" s="15">
        <v>0</v>
      </c>
      <c r="AF66" s="15">
        <v>0</v>
      </c>
      <c r="AG66" s="15">
        <v>0</v>
      </c>
      <c r="AH66" s="15">
        <v>0</v>
      </c>
      <c r="AI66" s="15">
        <v>1</v>
      </c>
      <c r="AJ66" s="15">
        <v>0</v>
      </c>
      <c r="AK66" s="15">
        <v>1</v>
      </c>
      <c r="AL66" s="15">
        <v>0</v>
      </c>
      <c r="AM66" s="20">
        <v>1</v>
      </c>
      <c r="AN66" s="20">
        <v>0</v>
      </c>
      <c r="AO66" s="20">
        <v>0</v>
      </c>
      <c r="AP66" s="20">
        <v>0</v>
      </c>
      <c r="AQ66" s="20">
        <v>0</v>
      </c>
      <c r="AR66" s="20">
        <v>0</v>
      </c>
      <c r="AS66" s="20">
        <v>0</v>
      </c>
      <c r="AT66" s="20">
        <v>0</v>
      </c>
      <c r="AU66" s="20">
        <v>0</v>
      </c>
      <c r="AV66" s="20">
        <v>0</v>
      </c>
      <c r="AW66" s="20">
        <v>0</v>
      </c>
      <c r="AX66" s="20">
        <v>0</v>
      </c>
    </row>
    <row r="67" spans="1:50" x14ac:dyDescent="0.3">
      <c r="A67" s="11">
        <v>11</v>
      </c>
      <c r="B67" s="11">
        <v>5</v>
      </c>
      <c r="C67" s="15">
        <v>0</v>
      </c>
      <c r="D67" s="15">
        <v>0</v>
      </c>
      <c r="E67" s="15">
        <v>0</v>
      </c>
      <c r="F67" s="15">
        <v>1</v>
      </c>
      <c r="G67" s="15">
        <v>0</v>
      </c>
      <c r="H67" s="15">
        <v>1</v>
      </c>
      <c r="I67" s="15">
        <v>0</v>
      </c>
      <c r="J67" s="15">
        <v>1</v>
      </c>
      <c r="K67" s="15">
        <v>0</v>
      </c>
      <c r="L67" s="15">
        <v>0</v>
      </c>
      <c r="M67" s="15">
        <v>1</v>
      </c>
      <c r="N67" s="15">
        <v>0</v>
      </c>
      <c r="O67" s="20">
        <v>0</v>
      </c>
      <c r="P67" s="20">
        <v>0</v>
      </c>
      <c r="Q67" s="20">
        <v>1</v>
      </c>
      <c r="R67" s="20">
        <v>0</v>
      </c>
      <c r="S67" s="20">
        <v>1</v>
      </c>
      <c r="T67" s="20">
        <v>0</v>
      </c>
      <c r="U67" s="20">
        <v>0</v>
      </c>
      <c r="V67" s="20">
        <v>0</v>
      </c>
      <c r="W67" s="20">
        <v>0</v>
      </c>
      <c r="X67" s="20">
        <v>0</v>
      </c>
      <c r="Y67" s="20">
        <v>1</v>
      </c>
      <c r="Z67" s="20">
        <v>0</v>
      </c>
      <c r="AA67" s="15">
        <v>0</v>
      </c>
      <c r="AB67" s="15">
        <v>0</v>
      </c>
      <c r="AC67" s="15">
        <v>0</v>
      </c>
      <c r="AD67" s="15">
        <v>0</v>
      </c>
      <c r="AE67" s="15">
        <v>0</v>
      </c>
      <c r="AF67" s="15">
        <v>0</v>
      </c>
      <c r="AG67" s="15">
        <v>0</v>
      </c>
      <c r="AH67" s="15">
        <v>0</v>
      </c>
      <c r="AI67" s="15">
        <v>1</v>
      </c>
      <c r="AJ67" s="15">
        <v>0</v>
      </c>
      <c r="AK67" s="15">
        <v>1</v>
      </c>
      <c r="AL67" s="15">
        <v>0</v>
      </c>
      <c r="AM67" s="20">
        <v>1</v>
      </c>
      <c r="AN67" s="20">
        <v>0</v>
      </c>
      <c r="AO67" s="20">
        <v>0</v>
      </c>
      <c r="AP67" s="20">
        <v>0</v>
      </c>
      <c r="AQ67" s="20">
        <v>0</v>
      </c>
      <c r="AR67" s="20">
        <v>0</v>
      </c>
      <c r="AS67" s="20">
        <v>0</v>
      </c>
      <c r="AT67" s="20">
        <v>0</v>
      </c>
      <c r="AU67" s="20">
        <v>0</v>
      </c>
      <c r="AV67" s="20">
        <v>0</v>
      </c>
      <c r="AW67" s="20">
        <v>0</v>
      </c>
      <c r="AX67" s="20">
        <v>0</v>
      </c>
    </row>
    <row r="68" spans="1:50" x14ac:dyDescent="0.3">
      <c r="A68" s="11">
        <v>11</v>
      </c>
      <c r="B68" s="11">
        <v>6</v>
      </c>
      <c r="C68" s="15">
        <v>0</v>
      </c>
      <c r="D68" s="15">
        <v>1</v>
      </c>
      <c r="E68" s="15">
        <v>0</v>
      </c>
      <c r="F68" s="15">
        <v>0</v>
      </c>
      <c r="G68" s="15">
        <v>0</v>
      </c>
      <c r="H68" s="15">
        <v>0</v>
      </c>
      <c r="I68" s="15">
        <v>0</v>
      </c>
      <c r="J68" s="15">
        <v>0</v>
      </c>
      <c r="K68" s="15">
        <v>0</v>
      </c>
      <c r="L68" s="15">
        <v>0</v>
      </c>
      <c r="M68" s="15">
        <v>0</v>
      </c>
      <c r="N68" s="15">
        <v>0</v>
      </c>
      <c r="O68" s="20">
        <v>0</v>
      </c>
      <c r="P68" s="20">
        <v>0</v>
      </c>
      <c r="Q68" s="20">
        <v>1</v>
      </c>
      <c r="R68" s="20">
        <v>0</v>
      </c>
      <c r="S68" s="20">
        <v>0</v>
      </c>
      <c r="T68" s="20">
        <v>0</v>
      </c>
      <c r="U68" s="20">
        <v>0</v>
      </c>
      <c r="V68" s="20">
        <v>1</v>
      </c>
      <c r="W68" s="20">
        <v>0</v>
      </c>
      <c r="X68" s="20">
        <v>1</v>
      </c>
      <c r="Y68" s="20">
        <v>0</v>
      </c>
      <c r="Z68" s="20">
        <v>0</v>
      </c>
      <c r="AA68" s="15">
        <v>0</v>
      </c>
      <c r="AB68" s="15">
        <v>0</v>
      </c>
      <c r="AC68" s="15">
        <v>0</v>
      </c>
      <c r="AD68" s="15">
        <v>1</v>
      </c>
      <c r="AE68" s="15">
        <v>0</v>
      </c>
      <c r="AF68" s="15">
        <v>0</v>
      </c>
      <c r="AG68" s="15">
        <v>1</v>
      </c>
      <c r="AH68" s="15">
        <v>0</v>
      </c>
      <c r="AI68" s="15">
        <v>0</v>
      </c>
      <c r="AJ68" s="15">
        <v>0</v>
      </c>
      <c r="AK68" s="15">
        <v>0</v>
      </c>
      <c r="AL68" s="15">
        <v>1</v>
      </c>
      <c r="AM68" s="20">
        <v>1</v>
      </c>
      <c r="AN68" s="20">
        <v>0</v>
      </c>
      <c r="AO68" s="20">
        <v>0</v>
      </c>
      <c r="AP68" s="20">
        <v>0</v>
      </c>
      <c r="AQ68" s="20">
        <v>0</v>
      </c>
      <c r="AR68" s="20">
        <v>0</v>
      </c>
      <c r="AS68" s="20">
        <v>0</v>
      </c>
      <c r="AT68" s="20">
        <v>0</v>
      </c>
      <c r="AU68" s="20">
        <v>0</v>
      </c>
      <c r="AV68" s="20">
        <v>0</v>
      </c>
      <c r="AW68" s="20">
        <v>0</v>
      </c>
      <c r="AX68" s="20">
        <v>0</v>
      </c>
    </row>
    <row r="69" spans="1:50" x14ac:dyDescent="0.3">
      <c r="A69" s="11">
        <v>12</v>
      </c>
      <c r="B69" s="11">
        <v>1</v>
      </c>
      <c r="C69" s="15">
        <v>0</v>
      </c>
      <c r="D69" s="15">
        <v>1</v>
      </c>
      <c r="E69" s="15">
        <v>0</v>
      </c>
      <c r="F69" s="15">
        <v>0</v>
      </c>
      <c r="G69" s="15">
        <v>1</v>
      </c>
      <c r="H69" s="15">
        <v>0</v>
      </c>
      <c r="I69" s="15">
        <v>0</v>
      </c>
      <c r="J69" s="15">
        <v>1</v>
      </c>
      <c r="K69" s="15">
        <v>0</v>
      </c>
      <c r="L69" s="15">
        <v>0</v>
      </c>
      <c r="M69" s="15">
        <v>0</v>
      </c>
      <c r="N69" s="15">
        <v>1</v>
      </c>
      <c r="O69" s="20">
        <v>0</v>
      </c>
      <c r="P69" s="20">
        <v>1</v>
      </c>
      <c r="Q69" s="20">
        <v>0</v>
      </c>
      <c r="R69" s="20">
        <v>0</v>
      </c>
      <c r="S69" s="20">
        <v>0</v>
      </c>
      <c r="T69" s="20">
        <v>1</v>
      </c>
      <c r="U69" s="20">
        <v>1</v>
      </c>
      <c r="V69" s="20">
        <v>0</v>
      </c>
      <c r="W69" s="20">
        <v>0</v>
      </c>
      <c r="X69" s="20">
        <v>1</v>
      </c>
      <c r="Y69" s="20">
        <v>0</v>
      </c>
      <c r="Z69" s="20">
        <v>0</v>
      </c>
      <c r="AA69" s="15">
        <v>0</v>
      </c>
      <c r="AB69" s="15">
        <v>1</v>
      </c>
      <c r="AC69" s="15">
        <v>0</v>
      </c>
      <c r="AD69" s="15">
        <v>0</v>
      </c>
      <c r="AE69" s="15">
        <v>0</v>
      </c>
      <c r="AF69" s="15">
        <v>0</v>
      </c>
      <c r="AG69" s="15">
        <v>0</v>
      </c>
      <c r="AH69" s="15">
        <v>0</v>
      </c>
      <c r="AI69" s="15">
        <v>0</v>
      </c>
      <c r="AJ69" s="15">
        <v>0</v>
      </c>
      <c r="AK69" s="15">
        <v>0</v>
      </c>
      <c r="AL69" s="15">
        <v>0</v>
      </c>
      <c r="AM69" s="20">
        <v>1</v>
      </c>
      <c r="AN69" s="20">
        <v>0</v>
      </c>
      <c r="AO69" s="20">
        <v>0</v>
      </c>
      <c r="AP69" s="20">
        <v>0</v>
      </c>
      <c r="AQ69" s="20">
        <v>0</v>
      </c>
      <c r="AR69" s="20">
        <v>0</v>
      </c>
      <c r="AS69" s="20">
        <v>0</v>
      </c>
      <c r="AT69" s="20">
        <v>0</v>
      </c>
      <c r="AU69" s="20">
        <v>0</v>
      </c>
      <c r="AV69" s="20">
        <v>0</v>
      </c>
      <c r="AW69" s="20">
        <v>0</v>
      </c>
      <c r="AX69" s="20">
        <v>0</v>
      </c>
    </row>
    <row r="70" spans="1:50" x14ac:dyDescent="0.3">
      <c r="A70" s="11">
        <v>12</v>
      </c>
      <c r="B70" s="11">
        <v>2</v>
      </c>
      <c r="C70" s="15">
        <v>0</v>
      </c>
      <c r="D70" s="15">
        <v>0</v>
      </c>
      <c r="E70" s="15">
        <v>1</v>
      </c>
      <c r="F70" s="15">
        <v>0</v>
      </c>
      <c r="G70" s="15">
        <v>0</v>
      </c>
      <c r="H70" s="15">
        <v>1</v>
      </c>
      <c r="I70" s="15">
        <v>0</v>
      </c>
      <c r="J70" s="15">
        <v>0</v>
      </c>
      <c r="K70" s="15">
        <v>1</v>
      </c>
      <c r="L70" s="15">
        <v>0</v>
      </c>
      <c r="M70" s="15">
        <v>0</v>
      </c>
      <c r="N70" s="15">
        <v>0</v>
      </c>
      <c r="O70" s="20">
        <v>0</v>
      </c>
      <c r="P70" s="20">
        <v>0</v>
      </c>
      <c r="Q70" s="20">
        <v>0</v>
      </c>
      <c r="R70" s="20">
        <v>1</v>
      </c>
      <c r="S70" s="20">
        <v>0</v>
      </c>
      <c r="T70" s="20">
        <v>1</v>
      </c>
      <c r="U70" s="20">
        <v>0</v>
      </c>
      <c r="V70" s="20">
        <v>1</v>
      </c>
      <c r="W70" s="20">
        <v>0</v>
      </c>
      <c r="X70" s="20">
        <v>0</v>
      </c>
      <c r="Y70" s="20">
        <v>1</v>
      </c>
      <c r="Z70" s="20">
        <v>0</v>
      </c>
      <c r="AA70" s="15">
        <v>0</v>
      </c>
      <c r="AB70" s="15">
        <v>0</v>
      </c>
      <c r="AC70" s="15">
        <v>0</v>
      </c>
      <c r="AD70" s="15">
        <v>0</v>
      </c>
      <c r="AE70" s="15">
        <v>0</v>
      </c>
      <c r="AF70" s="15">
        <v>1</v>
      </c>
      <c r="AG70" s="15">
        <v>0</v>
      </c>
      <c r="AH70" s="15">
        <v>0</v>
      </c>
      <c r="AI70" s="15">
        <v>0</v>
      </c>
      <c r="AJ70" s="15">
        <v>0</v>
      </c>
      <c r="AK70" s="15">
        <v>0</v>
      </c>
      <c r="AL70" s="15">
        <v>1</v>
      </c>
      <c r="AM70" s="20">
        <v>1</v>
      </c>
      <c r="AN70" s="20">
        <v>0</v>
      </c>
      <c r="AO70" s="20">
        <v>0</v>
      </c>
      <c r="AP70" s="20">
        <v>0</v>
      </c>
      <c r="AQ70" s="20">
        <v>0</v>
      </c>
      <c r="AR70" s="20">
        <v>0</v>
      </c>
      <c r="AS70" s="20">
        <v>0</v>
      </c>
      <c r="AT70" s="20">
        <v>0</v>
      </c>
      <c r="AU70" s="20">
        <v>0</v>
      </c>
      <c r="AV70" s="20">
        <v>0</v>
      </c>
      <c r="AW70" s="20">
        <v>0</v>
      </c>
      <c r="AX70" s="20">
        <v>0</v>
      </c>
    </row>
    <row r="71" spans="1:50" x14ac:dyDescent="0.3">
      <c r="A71" s="11">
        <v>12</v>
      </c>
      <c r="B71" s="11">
        <v>3</v>
      </c>
      <c r="C71" s="15">
        <v>0</v>
      </c>
      <c r="D71" s="15">
        <v>0</v>
      </c>
      <c r="E71" s="15">
        <v>0</v>
      </c>
      <c r="F71" s="15">
        <v>1</v>
      </c>
      <c r="G71" s="15">
        <v>0</v>
      </c>
      <c r="H71" s="15">
        <v>0</v>
      </c>
      <c r="I71" s="15">
        <v>1</v>
      </c>
      <c r="J71" s="15">
        <v>0</v>
      </c>
      <c r="K71" s="15">
        <v>0</v>
      </c>
      <c r="L71" s="15">
        <v>0</v>
      </c>
      <c r="M71" s="15">
        <v>0</v>
      </c>
      <c r="N71" s="15">
        <v>1</v>
      </c>
      <c r="O71" s="20">
        <v>0</v>
      </c>
      <c r="P71" s="20">
        <v>1</v>
      </c>
      <c r="Q71" s="20">
        <v>0</v>
      </c>
      <c r="R71" s="20">
        <v>0</v>
      </c>
      <c r="S71" s="20">
        <v>1</v>
      </c>
      <c r="T71" s="20">
        <v>0</v>
      </c>
      <c r="U71" s="20">
        <v>0</v>
      </c>
      <c r="V71" s="20">
        <v>1</v>
      </c>
      <c r="W71" s="20">
        <v>0</v>
      </c>
      <c r="X71" s="20">
        <v>0</v>
      </c>
      <c r="Y71" s="20">
        <v>0</v>
      </c>
      <c r="Z71" s="20">
        <v>1</v>
      </c>
      <c r="AA71" s="15">
        <v>0</v>
      </c>
      <c r="AB71" s="15">
        <v>0</v>
      </c>
      <c r="AC71" s="15">
        <v>0</v>
      </c>
      <c r="AD71" s="15">
        <v>0</v>
      </c>
      <c r="AE71" s="15">
        <v>0</v>
      </c>
      <c r="AF71" s="15">
        <v>1</v>
      </c>
      <c r="AG71" s="15">
        <v>0</v>
      </c>
      <c r="AH71" s="15">
        <v>0</v>
      </c>
      <c r="AI71" s="15">
        <v>0</v>
      </c>
      <c r="AJ71" s="15">
        <v>0</v>
      </c>
      <c r="AK71" s="15">
        <v>0</v>
      </c>
      <c r="AL71" s="15">
        <v>1</v>
      </c>
      <c r="AM71" s="20">
        <v>1</v>
      </c>
      <c r="AN71" s="20">
        <v>0</v>
      </c>
      <c r="AO71" s="20">
        <v>0</v>
      </c>
      <c r="AP71" s="20">
        <v>0</v>
      </c>
      <c r="AQ71" s="20">
        <v>0</v>
      </c>
      <c r="AR71" s="20">
        <v>0</v>
      </c>
      <c r="AS71" s="20">
        <v>0</v>
      </c>
      <c r="AT71" s="20">
        <v>0</v>
      </c>
      <c r="AU71" s="20">
        <v>0</v>
      </c>
      <c r="AV71" s="20">
        <v>0</v>
      </c>
      <c r="AW71" s="20">
        <v>0</v>
      </c>
      <c r="AX71" s="20">
        <v>0</v>
      </c>
    </row>
    <row r="72" spans="1:50" x14ac:dyDescent="0.3">
      <c r="A72" s="11">
        <v>12</v>
      </c>
      <c r="B72" s="11">
        <v>4</v>
      </c>
      <c r="C72" s="15">
        <v>0</v>
      </c>
      <c r="D72" s="15">
        <v>0</v>
      </c>
      <c r="E72" s="15">
        <v>0</v>
      </c>
      <c r="F72" s="15">
        <v>1</v>
      </c>
      <c r="G72" s="15">
        <v>1</v>
      </c>
      <c r="H72" s="15">
        <v>0</v>
      </c>
      <c r="I72" s="15">
        <v>0</v>
      </c>
      <c r="J72" s="15">
        <v>0</v>
      </c>
      <c r="K72" s="15">
        <v>1</v>
      </c>
      <c r="L72" s="15">
        <v>1</v>
      </c>
      <c r="M72" s="15">
        <v>0</v>
      </c>
      <c r="N72" s="15">
        <v>0</v>
      </c>
      <c r="O72" s="20">
        <v>0</v>
      </c>
      <c r="P72" s="20">
        <v>0</v>
      </c>
      <c r="Q72" s="20">
        <v>1</v>
      </c>
      <c r="R72" s="20">
        <v>0</v>
      </c>
      <c r="S72" s="20">
        <v>0</v>
      </c>
      <c r="T72" s="20">
        <v>1</v>
      </c>
      <c r="U72" s="20">
        <v>0</v>
      </c>
      <c r="V72" s="20">
        <v>0</v>
      </c>
      <c r="W72" s="20">
        <v>1</v>
      </c>
      <c r="X72" s="20">
        <v>0</v>
      </c>
      <c r="Y72" s="20">
        <v>0</v>
      </c>
      <c r="Z72" s="20">
        <v>0</v>
      </c>
      <c r="AA72" s="15">
        <v>0</v>
      </c>
      <c r="AB72" s="15">
        <v>0</v>
      </c>
      <c r="AC72" s="15">
        <v>0</v>
      </c>
      <c r="AD72" s="15">
        <v>0</v>
      </c>
      <c r="AE72" s="15">
        <v>0</v>
      </c>
      <c r="AF72" s="15">
        <v>0</v>
      </c>
      <c r="AG72" s="15">
        <v>0</v>
      </c>
      <c r="AH72" s="15">
        <v>0</v>
      </c>
      <c r="AI72" s="15">
        <v>1</v>
      </c>
      <c r="AJ72" s="15">
        <v>0</v>
      </c>
      <c r="AK72" s="15">
        <v>1</v>
      </c>
      <c r="AL72" s="15">
        <v>0</v>
      </c>
      <c r="AM72" s="20">
        <v>1</v>
      </c>
      <c r="AN72" s="20">
        <v>0</v>
      </c>
      <c r="AO72" s="20">
        <v>0</v>
      </c>
      <c r="AP72" s="20">
        <v>0</v>
      </c>
      <c r="AQ72" s="20">
        <v>0</v>
      </c>
      <c r="AR72" s="20">
        <v>0</v>
      </c>
      <c r="AS72" s="20">
        <v>0</v>
      </c>
      <c r="AT72" s="20">
        <v>0</v>
      </c>
      <c r="AU72" s="20">
        <v>0</v>
      </c>
      <c r="AV72" s="20">
        <v>0</v>
      </c>
      <c r="AW72" s="20">
        <v>0</v>
      </c>
      <c r="AX72" s="20">
        <v>0</v>
      </c>
    </row>
    <row r="73" spans="1:50" x14ac:dyDescent="0.3">
      <c r="A73" s="11">
        <v>12</v>
      </c>
      <c r="B73" s="11">
        <v>5</v>
      </c>
      <c r="C73" s="15">
        <v>0</v>
      </c>
      <c r="D73" s="15">
        <v>0</v>
      </c>
      <c r="E73" s="15">
        <v>0</v>
      </c>
      <c r="F73" s="15">
        <v>1</v>
      </c>
      <c r="G73" s="15">
        <v>0</v>
      </c>
      <c r="H73" s="15">
        <v>1</v>
      </c>
      <c r="I73" s="15">
        <v>0</v>
      </c>
      <c r="J73" s="15">
        <v>1</v>
      </c>
      <c r="K73" s="15">
        <v>0</v>
      </c>
      <c r="L73" s="15">
        <v>0</v>
      </c>
      <c r="M73" s="15">
        <v>1</v>
      </c>
      <c r="N73" s="15">
        <v>0</v>
      </c>
      <c r="O73" s="20">
        <v>0</v>
      </c>
      <c r="P73" s="20">
        <v>0</v>
      </c>
      <c r="Q73" s="20">
        <v>1</v>
      </c>
      <c r="R73" s="20">
        <v>0</v>
      </c>
      <c r="S73" s="20">
        <v>1</v>
      </c>
      <c r="T73" s="20">
        <v>0</v>
      </c>
      <c r="U73" s="20">
        <v>0</v>
      </c>
      <c r="V73" s="20">
        <v>0</v>
      </c>
      <c r="W73" s="20">
        <v>0</v>
      </c>
      <c r="X73" s="20">
        <v>0</v>
      </c>
      <c r="Y73" s="20">
        <v>1</v>
      </c>
      <c r="Z73" s="20">
        <v>0</v>
      </c>
      <c r="AA73" s="15">
        <v>0</v>
      </c>
      <c r="AB73" s="15">
        <v>0</v>
      </c>
      <c r="AC73" s="15">
        <v>0</v>
      </c>
      <c r="AD73" s="15">
        <v>0</v>
      </c>
      <c r="AE73" s="15">
        <v>0</v>
      </c>
      <c r="AF73" s="15">
        <v>0</v>
      </c>
      <c r="AG73" s="15">
        <v>0</v>
      </c>
      <c r="AH73" s="15">
        <v>0</v>
      </c>
      <c r="AI73" s="15">
        <v>1</v>
      </c>
      <c r="AJ73" s="15">
        <v>0</v>
      </c>
      <c r="AK73" s="15">
        <v>1</v>
      </c>
      <c r="AL73" s="15">
        <v>0</v>
      </c>
      <c r="AM73" s="20">
        <v>1</v>
      </c>
      <c r="AN73" s="20">
        <v>0</v>
      </c>
      <c r="AO73" s="20">
        <v>0</v>
      </c>
      <c r="AP73" s="20">
        <v>0</v>
      </c>
      <c r="AQ73" s="20">
        <v>0</v>
      </c>
      <c r="AR73" s="20">
        <v>0</v>
      </c>
      <c r="AS73" s="20">
        <v>0</v>
      </c>
      <c r="AT73" s="20">
        <v>0</v>
      </c>
      <c r="AU73" s="20">
        <v>0</v>
      </c>
      <c r="AV73" s="20">
        <v>0</v>
      </c>
      <c r="AW73" s="20">
        <v>0</v>
      </c>
      <c r="AX73" s="20">
        <v>0</v>
      </c>
    </row>
    <row r="74" spans="1:50" x14ac:dyDescent="0.3">
      <c r="A74" s="11">
        <v>12</v>
      </c>
      <c r="B74" s="11">
        <v>6</v>
      </c>
      <c r="C74" s="15">
        <v>0</v>
      </c>
      <c r="D74" s="15">
        <v>1</v>
      </c>
      <c r="E74" s="15">
        <v>0</v>
      </c>
      <c r="F74" s="15">
        <v>0</v>
      </c>
      <c r="G74" s="15">
        <v>0</v>
      </c>
      <c r="H74" s="15">
        <v>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20">
        <v>0</v>
      </c>
      <c r="P74" s="20">
        <v>0</v>
      </c>
      <c r="Q74" s="20">
        <v>1</v>
      </c>
      <c r="R74" s="20">
        <v>0</v>
      </c>
      <c r="S74" s="20">
        <v>0</v>
      </c>
      <c r="T74" s="20">
        <v>0</v>
      </c>
      <c r="U74" s="20">
        <v>0</v>
      </c>
      <c r="V74" s="20">
        <v>1</v>
      </c>
      <c r="W74" s="20">
        <v>0</v>
      </c>
      <c r="X74" s="20">
        <v>1</v>
      </c>
      <c r="Y74" s="20">
        <v>0</v>
      </c>
      <c r="Z74" s="20">
        <v>0</v>
      </c>
      <c r="AA74" s="15">
        <v>0</v>
      </c>
      <c r="AB74" s="15">
        <v>0</v>
      </c>
      <c r="AC74" s="15">
        <v>0</v>
      </c>
      <c r="AD74" s="15">
        <v>1</v>
      </c>
      <c r="AE74" s="15">
        <v>0</v>
      </c>
      <c r="AF74" s="15">
        <v>0</v>
      </c>
      <c r="AG74" s="15">
        <v>1</v>
      </c>
      <c r="AH74" s="15">
        <v>0</v>
      </c>
      <c r="AI74" s="15">
        <v>0</v>
      </c>
      <c r="AJ74" s="15">
        <v>0</v>
      </c>
      <c r="AK74" s="15">
        <v>0</v>
      </c>
      <c r="AL74" s="15">
        <v>1</v>
      </c>
      <c r="AM74" s="20">
        <v>1</v>
      </c>
      <c r="AN74" s="20">
        <v>0</v>
      </c>
      <c r="AO74" s="20">
        <v>0</v>
      </c>
      <c r="AP74" s="20">
        <v>0</v>
      </c>
      <c r="AQ74" s="20">
        <v>0</v>
      </c>
      <c r="AR74" s="20">
        <v>0</v>
      </c>
      <c r="AS74" s="20">
        <v>0</v>
      </c>
      <c r="AT74" s="20">
        <v>0</v>
      </c>
      <c r="AU74" s="20">
        <v>0</v>
      </c>
      <c r="AV74" s="20">
        <v>0</v>
      </c>
      <c r="AW74" s="20">
        <v>0</v>
      </c>
      <c r="AX74" s="20">
        <v>0</v>
      </c>
    </row>
    <row r="75" spans="1:50" x14ac:dyDescent="0.3">
      <c r="A75" s="11">
        <v>13</v>
      </c>
      <c r="B75" s="11">
        <v>1</v>
      </c>
      <c r="C75" s="15">
        <v>0</v>
      </c>
      <c r="D75" s="15">
        <v>1</v>
      </c>
      <c r="E75" s="15">
        <v>0</v>
      </c>
      <c r="F75" s="15">
        <v>0</v>
      </c>
      <c r="G75" s="15">
        <v>1</v>
      </c>
      <c r="H75" s="15">
        <v>0</v>
      </c>
      <c r="I75" s="15">
        <v>0</v>
      </c>
      <c r="J75" s="15">
        <v>1</v>
      </c>
      <c r="K75" s="15">
        <v>0</v>
      </c>
      <c r="L75" s="15">
        <v>0</v>
      </c>
      <c r="M75" s="15">
        <v>0</v>
      </c>
      <c r="N75" s="15">
        <v>1</v>
      </c>
      <c r="O75" s="20">
        <v>0</v>
      </c>
      <c r="P75" s="20">
        <v>1</v>
      </c>
      <c r="Q75" s="20">
        <v>0</v>
      </c>
      <c r="R75" s="20">
        <v>0</v>
      </c>
      <c r="S75" s="20">
        <v>0</v>
      </c>
      <c r="T75" s="20">
        <v>1</v>
      </c>
      <c r="U75" s="20">
        <v>1</v>
      </c>
      <c r="V75" s="20">
        <v>0</v>
      </c>
      <c r="W75" s="20">
        <v>0</v>
      </c>
      <c r="X75" s="20">
        <v>1</v>
      </c>
      <c r="Y75" s="20">
        <v>0</v>
      </c>
      <c r="Z75" s="20">
        <v>0</v>
      </c>
      <c r="AA75" s="15">
        <v>0</v>
      </c>
      <c r="AB75" s="15">
        <v>1</v>
      </c>
      <c r="AC75" s="15">
        <v>0</v>
      </c>
      <c r="AD75" s="15">
        <v>0</v>
      </c>
      <c r="AE75" s="15">
        <v>0</v>
      </c>
      <c r="AF75" s="15">
        <v>0</v>
      </c>
      <c r="AG75" s="15">
        <v>0</v>
      </c>
      <c r="AH75" s="15">
        <v>0</v>
      </c>
      <c r="AI75" s="15">
        <v>0</v>
      </c>
      <c r="AJ75" s="15">
        <v>0</v>
      </c>
      <c r="AK75" s="15">
        <v>0</v>
      </c>
      <c r="AL75" s="15">
        <v>0</v>
      </c>
      <c r="AM75" s="20">
        <v>1</v>
      </c>
      <c r="AN75" s="20">
        <v>0</v>
      </c>
      <c r="AO75" s="20">
        <v>0</v>
      </c>
      <c r="AP75" s="20">
        <v>0</v>
      </c>
      <c r="AQ75" s="20">
        <v>0</v>
      </c>
      <c r="AR75" s="20">
        <v>0</v>
      </c>
      <c r="AS75" s="20">
        <v>0</v>
      </c>
      <c r="AT75" s="20">
        <v>0</v>
      </c>
      <c r="AU75" s="20">
        <v>0</v>
      </c>
      <c r="AV75" s="20">
        <v>0</v>
      </c>
      <c r="AW75" s="20">
        <v>0</v>
      </c>
      <c r="AX75" s="20">
        <v>0</v>
      </c>
    </row>
    <row r="76" spans="1:50" x14ac:dyDescent="0.3">
      <c r="A76" s="11">
        <v>13</v>
      </c>
      <c r="B76" s="11">
        <v>2</v>
      </c>
      <c r="C76" s="15">
        <v>0</v>
      </c>
      <c r="D76" s="15">
        <v>0</v>
      </c>
      <c r="E76" s="15">
        <v>1</v>
      </c>
      <c r="F76" s="15">
        <v>0</v>
      </c>
      <c r="G76" s="15">
        <v>0</v>
      </c>
      <c r="H76" s="15">
        <v>1</v>
      </c>
      <c r="I76" s="15">
        <v>0</v>
      </c>
      <c r="J76" s="15">
        <v>0</v>
      </c>
      <c r="K76" s="15">
        <v>1</v>
      </c>
      <c r="L76" s="15">
        <v>0</v>
      </c>
      <c r="M76" s="15">
        <v>0</v>
      </c>
      <c r="N76" s="15">
        <v>0</v>
      </c>
      <c r="O76" s="20">
        <v>0</v>
      </c>
      <c r="P76" s="20">
        <v>0</v>
      </c>
      <c r="Q76" s="20">
        <v>0</v>
      </c>
      <c r="R76" s="20">
        <v>1</v>
      </c>
      <c r="S76" s="20">
        <v>0</v>
      </c>
      <c r="T76" s="20">
        <v>1</v>
      </c>
      <c r="U76" s="20">
        <v>0</v>
      </c>
      <c r="V76" s="20">
        <v>1</v>
      </c>
      <c r="W76" s="20">
        <v>0</v>
      </c>
      <c r="X76" s="20">
        <v>0</v>
      </c>
      <c r="Y76" s="20">
        <v>1</v>
      </c>
      <c r="Z76" s="20">
        <v>0</v>
      </c>
      <c r="AA76" s="15">
        <v>0</v>
      </c>
      <c r="AB76" s="15">
        <v>0</v>
      </c>
      <c r="AC76" s="15">
        <v>0</v>
      </c>
      <c r="AD76" s="15">
        <v>0</v>
      </c>
      <c r="AE76" s="15">
        <v>0</v>
      </c>
      <c r="AF76" s="15">
        <v>1</v>
      </c>
      <c r="AG76" s="15">
        <v>0</v>
      </c>
      <c r="AH76" s="15">
        <v>0</v>
      </c>
      <c r="AI76" s="15">
        <v>0</v>
      </c>
      <c r="AJ76" s="15">
        <v>0</v>
      </c>
      <c r="AK76" s="15">
        <v>0</v>
      </c>
      <c r="AL76" s="15">
        <v>1</v>
      </c>
      <c r="AM76" s="20">
        <v>1</v>
      </c>
      <c r="AN76" s="20">
        <v>0</v>
      </c>
      <c r="AO76" s="20">
        <v>0</v>
      </c>
      <c r="AP76" s="20">
        <v>0</v>
      </c>
      <c r="AQ76" s="20">
        <v>0</v>
      </c>
      <c r="AR76" s="20">
        <v>0</v>
      </c>
      <c r="AS76" s="20">
        <v>0</v>
      </c>
      <c r="AT76" s="20">
        <v>0</v>
      </c>
      <c r="AU76" s="20">
        <v>0</v>
      </c>
      <c r="AV76" s="20">
        <v>0</v>
      </c>
      <c r="AW76" s="20">
        <v>0</v>
      </c>
      <c r="AX76" s="20">
        <v>0</v>
      </c>
    </row>
    <row r="77" spans="1:50" x14ac:dyDescent="0.3">
      <c r="A77" s="11">
        <v>13</v>
      </c>
      <c r="B77" s="11">
        <v>3</v>
      </c>
      <c r="C77" s="15">
        <v>0</v>
      </c>
      <c r="D77" s="15">
        <v>0</v>
      </c>
      <c r="E77" s="15">
        <v>0</v>
      </c>
      <c r="F77" s="15">
        <v>1</v>
      </c>
      <c r="G77" s="15">
        <v>0</v>
      </c>
      <c r="H77" s="15">
        <v>0</v>
      </c>
      <c r="I77" s="15">
        <v>1</v>
      </c>
      <c r="J77" s="15">
        <v>0</v>
      </c>
      <c r="K77" s="15">
        <v>0</v>
      </c>
      <c r="L77" s="15">
        <v>0</v>
      </c>
      <c r="M77" s="15">
        <v>0</v>
      </c>
      <c r="N77" s="15">
        <v>1</v>
      </c>
      <c r="O77" s="20">
        <v>0</v>
      </c>
      <c r="P77" s="20">
        <v>1</v>
      </c>
      <c r="Q77" s="20">
        <v>0</v>
      </c>
      <c r="R77" s="20">
        <v>0</v>
      </c>
      <c r="S77" s="20">
        <v>1</v>
      </c>
      <c r="T77" s="20">
        <v>0</v>
      </c>
      <c r="U77" s="20">
        <v>0</v>
      </c>
      <c r="V77" s="20">
        <v>1</v>
      </c>
      <c r="W77" s="20">
        <v>0</v>
      </c>
      <c r="X77" s="20">
        <v>0</v>
      </c>
      <c r="Y77" s="20">
        <v>0</v>
      </c>
      <c r="Z77" s="20">
        <v>1</v>
      </c>
      <c r="AA77" s="15">
        <v>0</v>
      </c>
      <c r="AB77" s="15">
        <v>0</v>
      </c>
      <c r="AC77" s="15">
        <v>0</v>
      </c>
      <c r="AD77" s="15">
        <v>0</v>
      </c>
      <c r="AE77" s="15">
        <v>0</v>
      </c>
      <c r="AF77" s="15">
        <v>1</v>
      </c>
      <c r="AG77" s="15">
        <v>0</v>
      </c>
      <c r="AH77" s="15">
        <v>0</v>
      </c>
      <c r="AI77" s="15">
        <v>0</v>
      </c>
      <c r="AJ77" s="15">
        <v>0</v>
      </c>
      <c r="AK77" s="15">
        <v>0</v>
      </c>
      <c r="AL77" s="15">
        <v>1</v>
      </c>
      <c r="AM77" s="20">
        <v>1</v>
      </c>
      <c r="AN77" s="20">
        <v>0</v>
      </c>
      <c r="AO77" s="20">
        <v>0</v>
      </c>
      <c r="AP77" s="20">
        <v>0</v>
      </c>
      <c r="AQ77" s="20">
        <v>0</v>
      </c>
      <c r="AR77" s="20">
        <v>0</v>
      </c>
      <c r="AS77" s="20">
        <v>0</v>
      </c>
      <c r="AT77" s="20">
        <v>0</v>
      </c>
      <c r="AU77" s="20">
        <v>0</v>
      </c>
      <c r="AV77" s="20">
        <v>0</v>
      </c>
      <c r="AW77" s="20">
        <v>0</v>
      </c>
      <c r="AX77" s="20">
        <v>0</v>
      </c>
    </row>
    <row r="78" spans="1:50" x14ac:dyDescent="0.3">
      <c r="A78" s="11">
        <v>13</v>
      </c>
      <c r="B78" s="11">
        <v>4</v>
      </c>
      <c r="C78" s="15">
        <v>0</v>
      </c>
      <c r="D78" s="15">
        <v>0</v>
      </c>
      <c r="E78" s="15">
        <v>0</v>
      </c>
      <c r="F78" s="15">
        <v>1</v>
      </c>
      <c r="G78" s="15">
        <v>1</v>
      </c>
      <c r="H78" s="15">
        <v>0</v>
      </c>
      <c r="I78" s="15">
        <v>0</v>
      </c>
      <c r="J78" s="15">
        <v>0</v>
      </c>
      <c r="K78" s="15">
        <v>1</v>
      </c>
      <c r="L78" s="15">
        <v>1</v>
      </c>
      <c r="M78" s="15">
        <v>0</v>
      </c>
      <c r="N78" s="15">
        <v>0</v>
      </c>
      <c r="O78" s="20">
        <v>0</v>
      </c>
      <c r="P78" s="20">
        <v>0</v>
      </c>
      <c r="Q78" s="20">
        <v>1</v>
      </c>
      <c r="R78" s="20">
        <v>0</v>
      </c>
      <c r="S78" s="20">
        <v>0</v>
      </c>
      <c r="T78" s="20">
        <v>1</v>
      </c>
      <c r="U78" s="20">
        <v>0</v>
      </c>
      <c r="V78" s="20">
        <v>0</v>
      </c>
      <c r="W78" s="20">
        <v>1</v>
      </c>
      <c r="X78" s="20">
        <v>0</v>
      </c>
      <c r="Y78" s="20">
        <v>0</v>
      </c>
      <c r="Z78" s="20">
        <v>0</v>
      </c>
      <c r="AA78" s="15">
        <v>0</v>
      </c>
      <c r="AB78" s="15">
        <v>0</v>
      </c>
      <c r="AC78" s="15">
        <v>0</v>
      </c>
      <c r="AD78" s="15">
        <v>0</v>
      </c>
      <c r="AE78" s="15">
        <v>0</v>
      </c>
      <c r="AF78" s="15">
        <v>0</v>
      </c>
      <c r="AG78" s="15">
        <v>0</v>
      </c>
      <c r="AH78" s="15">
        <v>0</v>
      </c>
      <c r="AI78" s="15">
        <v>1</v>
      </c>
      <c r="AJ78" s="15">
        <v>0</v>
      </c>
      <c r="AK78" s="15">
        <v>1</v>
      </c>
      <c r="AL78" s="15">
        <v>0</v>
      </c>
      <c r="AM78" s="20">
        <v>1</v>
      </c>
      <c r="AN78" s="20">
        <v>0</v>
      </c>
      <c r="AO78" s="20">
        <v>0</v>
      </c>
      <c r="AP78" s="20">
        <v>0</v>
      </c>
      <c r="AQ78" s="20">
        <v>0</v>
      </c>
      <c r="AR78" s="20">
        <v>0</v>
      </c>
      <c r="AS78" s="20">
        <v>0</v>
      </c>
      <c r="AT78" s="20">
        <v>0</v>
      </c>
      <c r="AU78" s="20">
        <v>0</v>
      </c>
      <c r="AV78" s="20">
        <v>0</v>
      </c>
      <c r="AW78" s="20">
        <v>0</v>
      </c>
      <c r="AX78" s="20">
        <v>0</v>
      </c>
    </row>
    <row r="79" spans="1:50" x14ac:dyDescent="0.3">
      <c r="A79" s="11">
        <v>13</v>
      </c>
      <c r="B79" s="11">
        <v>5</v>
      </c>
      <c r="C79" s="15">
        <v>0</v>
      </c>
      <c r="D79" s="15">
        <v>0</v>
      </c>
      <c r="E79" s="15">
        <v>0</v>
      </c>
      <c r="F79" s="15">
        <v>1</v>
      </c>
      <c r="G79" s="15">
        <v>0</v>
      </c>
      <c r="H79" s="15">
        <v>1</v>
      </c>
      <c r="I79" s="15">
        <v>0</v>
      </c>
      <c r="J79" s="15">
        <v>1</v>
      </c>
      <c r="K79" s="15">
        <v>0</v>
      </c>
      <c r="L79" s="15">
        <v>0</v>
      </c>
      <c r="M79" s="15">
        <v>1</v>
      </c>
      <c r="N79" s="15">
        <v>0</v>
      </c>
      <c r="O79" s="20">
        <v>0</v>
      </c>
      <c r="P79" s="20">
        <v>0</v>
      </c>
      <c r="Q79" s="20">
        <v>1</v>
      </c>
      <c r="R79" s="20">
        <v>0</v>
      </c>
      <c r="S79" s="20">
        <v>1</v>
      </c>
      <c r="T79" s="20">
        <v>0</v>
      </c>
      <c r="U79" s="20">
        <v>0</v>
      </c>
      <c r="V79" s="20">
        <v>0</v>
      </c>
      <c r="W79" s="20">
        <v>0</v>
      </c>
      <c r="X79" s="20">
        <v>0</v>
      </c>
      <c r="Y79" s="20">
        <v>1</v>
      </c>
      <c r="Z79" s="20">
        <v>0</v>
      </c>
      <c r="AA79" s="15">
        <v>0</v>
      </c>
      <c r="AB79" s="15">
        <v>0</v>
      </c>
      <c r="AC79" s="15">
        <v>0</v>
      </c>
      <c r="AD79" s="15">
        <v>0</v>
      </c>
      <c r="AE79" s="15">
        <v>0</v>
      </c>
      <c r="AF79" s="15">
        <v>0</v>
      </c>
      <c r="AG79" s="15">
        <v>0</v>
      </c>
      <c r="AH79" s="15">
        <v>0</v>
      </c>
      <c r="AI79" s="15">
        <v>1</v>
      </c>
      <c r="AJ79" s="15">
        <v>0</v>
      </c>
      <c r="AK79" s="15">
        <v>1</v>
      </c>
      <c r="AL79" s="15">
        <v>0</v>
      </c>
      <c r="AM79" s="20">
        <v>1</v>
      </c>
      <c r="AN79" s="20">
        <v>0</v>
      </c>
      <c r="AO79" s="20">
        <v>0</v>
      </c>
      <c r="AP79" s="20">
        <v>0</v>
      </c>
      <c r="AQ79" s="20">
        <v>0</v>
      </c>
      <c r="AR79" s="20">
        <v>0</v>
      </c>
      <c r="AS79" s="20">
        <v>0</v>
      </c>
      <c r="AT79" s="20">
        <v>0</v>
      </c>
      <c r="AU79" s="20">
        <v>0</v>
      </c>
      <c r="AV79" s="20">
        <v>0</v>
      </c>
      <c r="AW79" s="20">
        <v>0</v>
      </c>
      <c r="AX79" s="20">
        <v>0</v>
      </c>
    </row>
    <row r="80" spans="1:50" x14ac:dyDescent="0.3">
      <c r="A80" s="11">
        <v>13</v>
      </c>
      <c r="B80" s="11">
        <v>6</v>
      </c>
      <c r="C80" s="15">
        <v>0</v>
      </c>
      <c r="D80" s="15">
        <v>1</v>
      </c>
      <c r="E80" s="15">
        <v>0</v>
      </c>
      <c r="F80" s="15">
        <v>0</v>
      </c>
      <c r="G80" s="15">
        <v>0</v>
      </c>
      <c r="H80" s="15">
        <v>0</v>
      </c>
      <c r="I80" s="15">
        <v>0</v>
      </c>
      <c r="J80" s="15">
        <v>0</v>
      </c>
      <c r="K80" s="15">
        <v>0</v>
      </c>
      <c r="L80" s="15">
        <v>0</v>
      </c>
      <c r="M80" s="15">
        <v>0</v>
      </c>
      <c r="N80" s="15">
        <v>0</v>
      </c>
      <c r="O80" s="20">
        <v>0</v>
      </c>
      <c r="P80" s="20">
        <v>0</v>
      </c>
      <c r="Q80" s="20">
        <v>1</v>
      </c>
      <c r="R80" s="20">
        <v>0</v>
      </c>
      <c r="S80" s="20">
        <v>0</v>
      </c>
      <c r="T80" s="20">
        <v>0</v>
      </c>
      <c r="U80" s="20">
        <v>0</v>
      </c>
      <c r="V80" s="20">
        <v>1</v>
      </c>
      <c r="W80" s="20">
        <v>0</v>
      </c>
      <c r="X80" s="20">
        <v>1</v>
      </c>
      <c r="Y80" s="20">
        <v>0</v>
      </c>
      <c r="Z80" s="20">
        <v>0</v>
      </c>
      <c r="AA80" s="15">
        <v>0</v>
      </c>
      <c r="AB80" s="15">
        <v>0</v>
      </c>
      <c r="AC80" s="15">
        <v>0</v>
      </c>
      <c r="AD80" s="15">
        <v>1</v>
      </c>
      <c r="AE80" s="15">
        <v>0</v>
      </c>
      <c r="AF80" s="15">
        <v>0</v>
      </c>
      <c r="AG80" s="15">
        <v>1</v>
      </c>
      <c r="AH80" s="15">
        <v>0</v>
      </c>
      <c r="AI80" s="15">
        <v>0</v>
      </c>
      <c r="AJ80" s="15">
        <v>0</v>
      </c>
      <c r="AK80" s="15">
        <v>0</v>
      </c>
      <c r="AL80" s="15">
        <v>1</v>
      </c>
      <c r="AM80" s="20">
        <v>1</v>
      </c>
      <c r="AN80" s="20">
        <v>0</v>
      </c>
      <c r="AO80" s="20">
        <v>0</v>
      </c>
      <c r="AP80" s="20">
        <v>0</v>
      </c>
      <c r="AQ80" s="20">
        <v>0</v>
      </c>
      <c r="AR80" s="20">
        <v>0</v>
      </c>
      <c r="AS80" s="20">
        <v>0</v>
      </c>
      <c r="AT80" s="20">
        <v>0</v>
      </c>
      <c r="AU80" s="20">
        <v>0</v>
      </c>
      <c r="AV80" s="20">
        <v>0</v>
      </c>
      <c r="AW80" s="20">
        <v>0</v>
      </c>
      <c r="AX80" s="20">
        <v>0</v>
      </c>
    </row>
    <row r="81" spans="1:50" x14ac:dyDescent="0.3">
      <c r="A81" s="11">
        <v>14</v>
      </c>
      <c r="B81" s="11">
        <v>1</v>
      </c>
      <c r="C81" s="15">
        <v>0</v>
      </c>
      <c r="D81" s="15">
        <v>1</v>
      </c>
      <c r="E81" s="15">
        <v>0</v>
      </c>
      <c r="F81" s="15">
        <v>0</v>
      </c>
      <c r="G81" s="15">
        <v>1</v>
      </c>
      <c r="H81" s="15">
        <v>0</v>
      </c>
      <c r="I81" s="15">
        <v>0</v>
      </c>
      <c r="J81" s="15">
        <v>1</v>
      </c>
      <c r="K81" s="15">
        <v>0</v>
      </c>
      <c r="L81" s="15">
        <v>0</v>
      </c>
      <c r="M81" s="15">
        <v>0</v>
      </c>
      <c r="N81" s="15">
        <v>1</v>
      </c>
      <c r="O81" s="20">
        <v>0</v>
      </c>
      <c r="P81" s="20">
        <v>1</v>
      </c>
      <c r="Q81" s="20">
        <v>0</v>
      </c>
      <c r="R81" s="20">
        <v>0</v>
      </c>
      <c r="S81" s="20">
        <v>0</v>
      </c>
      <c r="T81" s="20">
        <v>1</v>
      </c>
      <c r="U81" s="20">
        <v>1</v>
      </c>
      <c r="V81" s="20">
        <v>0</v>
      </c>
      <c r="W81" s="20">
        <v>0</v>
      </c>
      <c r="X81" s="20">
        <v>1</v>
      </c>
      <c r="Y81" s="20">
        <v>0</v>
      </c>
      <c r="Z81" s="20">
        <v>0</v>
      </c>
      <c r="AA81" s="15">
        <v>0</v>
      </c>
      <c r="AB81" s="15">
        <v>1</v>
      </c>
      <c r="AC81" s="15">
        <v>0</v>
      </c>
      <c r="AD81" s="15">
        <v>0</v>
      </c>
      <c r="AE81" s="15">
        <v>0</v>
      </c>
      <c r="AF81" s="15">
        <v>0</v>
      </c>
      <c r="AG81" s="15">
        <v>0</v>
      </c>
      <c r="AH81" s="15">
        <v>0</v>
      </c>
      <c r="AI81" s="15">
        <v>0</v>
      </c>
      <c r="AJ81" s="15">
        <v>0</v>
      </c>
      <c r="AK81" s="15">
        <v>0</v>
      </c>
      <c r="AL81" s="15">
        <v>0</v>
      </c>
      <c r="AM81" s="20">
        <v>1</v>
      </c>
      <c r="AN81" s="20">
        <v>0</v>
      </c>
      <c r="AO81" s="20">
        <v>0</v>
      </c>
      <c r="AP81" s="20">
        <v>0</v>
      </c>
      <c r="AQ81" s="20">
        <v>0</v>
      </c>
      <c r="AR81" s="20">
        <v>0</v>
      </c>
      <c r="AS81" s="20">
        <v>0</v>
      </c>
      <c r="AT81" s="20">
        <v>0</v>
      </c>
      <c r="AU81" s="20">
        <v>0</v>
      </c>
      <c r="AV81" s="20">
        <v>0</v>
      </c>
      <c r="AW81" s="20">
        <v>0</v>
      </c>
      <c r="AX81" s="20">
        <v>0</v>
      </c>
    </row>
    <row r="82" spans="1:50" x14ac:dyDescent="0.3">
      <c r="A82" s="11">
        <v>14</v>
      </c>
      <c r="B82" s="11">
        <v>2</v>
      </c>
      <c r="C82" s="15">
        <v>0</v>
      </c>
      <c r="D82" s="15">
        <v>0</v>
      </c>
      <c r="E82" s="15">
        <v>1</v>
      </c>
      <c r="F82" s="15">
        <v>0</v>
      </c>
      <c r="G82" s="15">
        <v>0</v>
      </c>
      <c r="H82" s="15">
        <v>1</v>
      </c>
      <c r="I82" s="15">
        <v>0</v>
      </c>
      <c r="J82" s="15">
        <v>0</v>
      </c>
      <c r="K82" s="15">
        <v>1</v>
      </c>
      <c r="L82" s="15">
        <v>0</v>
      </c>
      <c r="M82" s="15">
        <v>0</v>
      </c>
      <c r="N82" s="15">
        <v>0</v>
      </c>
      <c r="O82" s="20">
        <v>0</v>
      </c>
      <c r="P82" s="20">
        <v>0</v>
      </c>
      <c r="Q82" s="20">
        <v>0</v>
      </c>
      <c r="R82" s="20">
        <v>1</v>
      </c>
      <c r="S82" s="20">
        <v>0</v>
      </c>
      <c r="T82" s="20">
        <v>1</v>
      </c>
      <c r="U82" s="20">
        <v>0</v>
      </c>
      <c r="V82" s="20">
        <v>1</v>
      </c>
      <c r="W82" s="20">
        <v>0</v>
      </c>
      <c r="X82" s="20">
        <v>0</v>
      </c>
      <c r="Y82" s="20">
        <v>1</v>
      </c>
      <c r="Z82" s="20">
        <v>0</v>
      </c>
      <c r="AA82" s="15">
        <v>0</v>
      </c>
      <c r="AB82" s="15">
        <v>0</v>
      </c>
      <c r="AC82" s="15">
        <v>0</v>
      </c>
      <c r="AD82" s="15">
        <v>0</v>
      </c>
      <c r="AE82" s="15">
        <v>0</v>
      </c>
      <c r="AF82" s="15">
        <v>1</v>
      </c>
      <c r="AG82" s="15">
        <v>0</v>
      </c>
      <c r="AH82" s="15">
        <v>0</v>
      </c>
      <c r="AI82" s="15">
        <v>0</v>
      </c>
      <c r="AJ82" s="15">
        <v>0</v>
      </c>
      <c r="AK82" s="15">
        <v>0</v>
      </c>
      <c r="AL82" s="15">
        <v>1</v>
      </c>
      <c r="AM82" s="20">
        <v>1</v>
      </c>
      <c r="AN82" s="20">
        <v>0</v>
      </c>
      <c r="AO82" s="20">
        <v>0</v>
      </c>
      <c r="AP82" s="20">
        <v>0</v>
      </c>
      <c r="AQ82" s="20">
        <v>0</v>
      </c>
      <c r="AR82" s="20">
        <v>0</v>
      </c>
      <c r="AS82" s="20">
        <v>0</v>
      </c>
      <c r="AT82" s="20">
        <v>0</v>
      </c>
      <c r="AU82" s="20">
        <v>0</v>
      </c>
      <c r="AV82" s="20">
        <v>0</v>
      </c>
      <c r="AW82" s="20">
        <v>0</v>
      </c>
      <c r="AX82" s="20">
        <v>0</v>
      </c>
    </row>
    <row r="83" spans="1:50" x14ac:dyDescent="0.3">
      <c r="A83" s="11">
        <v>14</v>
      </c>
      <c r="B83" s="11">
        <v>3</v>
      </c>
      <c r="C83" s="15">
        <v>0</v>
      </c>
      <c r="D83" s="15">
        <v>0</v>
      </c>
      <c r="E83" s="15">
        <v>0</v>
      </c>
      <c r="F83" s="15">
        <v>1</v>
      </c>
      <c r="G83" s="15">
        <v>0</v>
      </c>
      <c r="H83" s="15">
        <v>0</v>
      </c>
      <c r="I83" s="15">
        <v>1</v>
      </c>
      <c r="J83" s="15">
        <v>0</v>
      </c>
      <c r="K83" s="15">
        <v>0</v>
      </c>
      <c r="L83" s="15">
        <v>0</v>
      </c>
      <c r="M83" s="15">
        <v>0</v>
      </c>
      <c r="N83" s="15">
        <v>1</v>
      </c>
      <c r="O83" s="20">
        <v>0</v>
      </c>
      <c r="P83" s="20">
        <v>1</v>
      </c>
      <c r="Q83" s="20">
        <v>0</v>
      </c>
      <c r="R83" s="20">
        <v>0</v>
      </c>
      <c r="S83" s="20">
        <v>1</v>
      </c>
      <c r="T83" s="20">
        <v>0</v>
      </c>
      <c r="U83" s="20">
        <v>0</v>
      </c>
      <c r="V83" s="20">
        <v>1</v>
      </c>
      <c r="W83" s="20">
        <v>0</v>
      </c>
      <c r="X83" s="20">
        <v>0</v>
      </c>
      <c r="Y83" s="20">
        <v>0</v>
      </c>
      <c r="Z83" s="20">
        <v>1</v>
      </c>
      <c r="AA83" s="15">
        <v>0</v>
      </c>
      <c r="AB83" s="15">
        <v>0</v>
      </c>
      <c r="AC83" s="15">
        <v>0</v>
      </c>
      <c r="AD83" s="15">
        <v>0</v>
      </c>
      <c r="AE83" s="15">
        <v>0</v>
      </c>
      <c r="AF83" s="15">
        <v>1</v>
      </c>
      <c r="AG83" s="15">
        <v>0</v>
      </c>
      <c r="AH83" s="15">
        <v>0</v>
      </c>
      <c r="AI83" s="15">
        <v>0</v>
      </c>
      <c r="AJ83" s="15">
        <v>0</v>
      </c>
      <c r="AK83" s="15">
        <v>0</v>
      </c>
      <c r="AL83" s="15">
        <v>1</v>
      </c>
      <c r="AM83" s="20">
        <v>1</v>
      </c>
      <c r="AN83" s="20">
        <v>0</v>
      </c>
      <c r="AO83" s="20">
        <v>0</v>
      </c>
      <c r="AP83" s="20">
        <v>0</v>
      </c>
      <c r="AQ83" s="20">
        <v>0</v>
      </c>
      <c r="AR83" s="20">
        <v>0</v>
      </c>
      <c r="AS83" s="20">
        <v>0</v>
      </c>
      <c r="AT83" s="20">
        <v>0</v>
      </c>
      <c r="AU83" s="20">
        <v>0</v>
      </c>
      <c r="AV83" s="20">
        <v>0</v>
      </c>
      <c r="AW83" s="20">
        <v>0</v>
      </c>
      <c r="AX83" s="20">
        <v>0</v>
      </c>
    </row>
    <row r="84" spans="1:50" x14ac:dyDescent="0.3">
      <c r="A84" s="11">
        <v>14</v>
      </c>
      <c r="B84" s="11">
        <v>4</v>
      </c>
      <c r="C84" s="15">
        <v>0</v>
      </c>
      <c r="D84" s="15">
        <v>0</v>
      </c>
      <c r="E84" s="15">
        <v>0</v>
      </c>
      <c r="F84" s="15">
        <v>1</v>
      </c>
      <c r="G84" s="15">
        <v>1</v>
      </c>
      <c r="H84" s="15">
        <v>0</v>
      </c>
      <c r="I84" s="15">
        <v>0</v>
      </c>
      <c r="J84" s="15">
        <v>0</v>
      </c>
      <c r="K84" s="15">
        <v>1</v>
      </c>
      <c r="L84" s="15">
        <v>1</v>
      </c>
      <c r="M84" s="15">
        <v>0</v>
      </c>
      <c r="N84" s="15">
        <v>0</v>
      </c>
      <c r="O84" s="20">
        <v>0</v>
      </c>
      <c r="P84" s="20">
        <v>0</v>
      </c>
      <c r="Q84" s="20">
        <v>1</v>
      </c>
      <c r="R84" s="20">
        <v>0</v>
      </c>
      <c r="S84" s="20">
        <v>0</v>
      </c>
      <c r="T84" s="20">
        <v>1</v>
      </c>
      <c r="U84" s="20">
        <v>0</v>
      </c>
      <c r="V84" s="20">
        <v>0</v>
      </c>
      <c r="W84" s="20">
        <v>1</v>
      </c>
      <c r="X84" s="20">
        <v>0</v>
      </c>
      <c r="Y84" s="20">
        <v>0</v>
      </c>
      <c r="Z84" s="20">
        <v>0</v>
      </c>
      <c r="AA84" s="15">
        <v>0</v>
      </c>
      <c r="AB84" s="15">
        <v>0</v>
      </c>
      <c r="AC84" s="15">
        <v>0</v>
      </c>
      <c r="AD84" s="15">
        <v>0</v>
      </c>
      <c r="AE84" s="15">
        <v>0</v>
      </c>
      <c r="AF84" s="15">
        <v>0</v>
      </c>
      <c r="AG84" s="15">
        <v>0</v>
      </c>
      <c r="AH84" s="15">
        <v>0</v>
      </c>
      <c r="AI84" s="15">
        <v>1</v>
      </c>
      <c r="AJ84" s="15">
        <v>0</v>
      </c>
      <c r="AK84" s="15">
        <v>1</v>
      </c>
      <c r="AL84" s="15">
        <v>0</v>
      </c>
      <c r="AM84" s="20">
        <v>1</v>
      </c>
      <c r="AN84" s="20">
        <v>0</v>
      </c>
      <c r="AO84" s="20">
        <v>0</v>
      </c>
      <c r="AP84" s="20">
        <v>0</v>
      </c>
      <c r="AQ84" s="20">
        <v>0</v>
      </c>
      <c r="AR84" s="20">
        <v>0</v>
      </c>
      <c r="AS84" s="20">
        <v>0</v>
      </c>
      <c r="AT84" s="20">
        <v>0</v>
      </c>
      <c r="AU84" s="20">
        <v>0</v>
      </c>
      <c r="AV84" s="20">
        <v>0</v>
      </c>
      <c r="AW84" s="20">
        <v>0</v>
      </c>
      <c r="AX84" s="20">
        <v>0</v>
      </c>
    </row>
    <row r="85" spans="1:50" x14ac:dyDescent="0.3">
      <c r="A85" s="11">
        <v>14</v>
      </c>
      <c r="B85" s="11">
        <v>5</v>
      </c>
      <c r="C85" s="15">
        <v>0</v>
      </c>
      <c r="D85" s="15">
        <v>0</v>
      </c>
      <c r="E85" s="15">
        <v>0</v>
      </c>
      <c r="F85" s="15">
        <v>1</v>
      </c>
      <c r="G85" s="15">
        <v>0</v>
      </c>
      <c r="H85" s="15">
        <v>1</v>
      </c>
      <c r="I85" s="15">
        <v>0</v>
      </c>
      <c r="J85" s="15">
        <v>1</v>
      </c>
      <c r="K85" s="15">
        <v>0</v>
      </c>
      <c r="L85" s="15">
        <v>0</v>
      </c>
      <c r="M85" s="15">
        <v>1</v>
      </c>
      <c r="N85" s="15">
        <v>0</v>
      </c>
      <c r="O85" s="20">
        <v>0</v>
      </c>
      <c r="P85" s="20">
        <v>0</v>
      </c>
      <c r="Q85" s="20">
        <v>1</v>
      </c>
      <c r="R85" s="20">
        <v>0</v>
      </c>
      <c r="S85" s="20">
        <v>1</v>
      </c>
      <c r="T85" s="20">
        <v>0</v>
      </c>
      <c r="U85" s="20">
        <v>0</v>
      </c>
      <c r="V85" s="20">
        <v>0</v>
      </c>
      <c r="W85" s="20">
        <v>0</v>
      </c>
      <c r="X85" s="20">
        <v>0</v>
      </c>
      <c r="Y85" s="20">
        <v>1</v>
      </c>
      <c r="Z85" s="20">
        <v>0</v>
      </c>
      <c r="AA85" s="15">
        <v>0</v>
      </c>
      <c r="AB85" s="15">
        <v>0</v>
      </c>
      <c r="AC85" s="15">
        <v>0</v>
      </c>
      <c r="AD85" s="15">
        <v>0</v>
      </c>
      <c r="AE85" s="15">
        <v>0</v>
      </c>
      <c r="AF85" s="15">
        <v>0</v>
      </c>
      <c r="AG85" s="15">
        <v>0</v>
      </c>
      <c r="AH85" s="15">
        <v>0</v>
      </c>
      <c r="AI85" s="15">
        <v>1</v>
      </c>
      <c r="AJ85" s="15">
        <v>0</v>
      </c>
      <c r="AK85" s="15">
        <v>1</v>
      </c>
      <c r="AL85" s="15">
        <v>0</v>
      </c>
      <c r="AM85" s="20">
        <v>1</v>
      </c>
      <c r="AN85" s="20">
        <v>0</v>
      </c>
      <c r="AO85" s="20">
        <v>0</v>
      </c>
      <c r="AP85" s="20">
        <v>0</v>
      </c>
      <c r="AQ85" s="20">
        <v>0</v>
      </c>
      <c r="AR85" s="20">
        <v>0</v>
      </c>
      <c r="AS85" s="20">
        <v>0</v>
      </c>
      <c r="AT85" s="20">
        <v>0</v>
      </c>
      <c r="AU85" s="20">
        <v>0</v>
      </c>
      <c r="AV85" s="20">
        <v>0</v>
      </c>
      <c r="AW85" s="20">
        <v>0</v>
      </c>
      <c r="AX85" s="20">
        <v>0</v>
      </c>
    </row>
    <row r="86" spans="1:50" x14ac:dyDescent="0.3">
      <c r="A86" s="11">
        <v>14</v>
      </c>
      <c r="B86" s="11">
        <v>6</v>
      </c>
      <c r="C86" s="15">
        <v>0</v>
      </c>
      <c r="D86" s="15">
        <v>1</v>
      </c>
      <c r="E86" s="15">
        <v>0</v>
      </c>
      <c r="F86" s="15">
        <v>0</v>
      </c>
      <c r="G86" s="15">
        <v>0</v>
      </c>
      <c r="H86" s="15">
        <v>0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20">
        <v>0</v>
      </c>
      <c r="P86" s="20">
        <v>0</v>
      </c>
      <c r="Q86" s="20">
        <v>1</v>
      </c>
      <c r="R86" s="20">
        <v>0</v>
      </c>
      <c r="S86" s="20">
        <v>0</v>
      </c>
      <c r="T86" s="20">
        <v>0</v>
      </c>
      <c r="U86" s="20">
        <v>0</v>
      </c>
      <c r="V86" s="20">
        <v>1</v>
      </c>
      <c r="W86" s="20">
        <v>0</v>
      </c>
      <c r="X86" s="20">
        <v>1</v>
      </c>
      <c r="Y86" s="20">
        <v>0</v>
      </c>
      <c r="Z86" s="20">
        <v>0</v>
      </c>
      <c r="AA86" s="15">
        <v>0</v>
      </c>
      <c r="AB86" s="15">
        <v>0</v>
      </c>
      <c r="AC86" s="15">
        <v>0</v>
      </c>
      <c r="AD86" s="15">
        <v>1</v>
      </c>
      <c r="AE86" s="15">
        <v>0</v>
      </c>
      <c r="AF86" s="15">
        <v>0</v>
      </c>
      <c r="AG86" s="15">
        <v>1</v>
      </c>
      <c r="AH86" s="15">
        <v>0</v>
      </c>
      <c r="AI86" s="15">
        <v>0</v>
      </c>
      <c r="AJ86" s="15">
        <v>0</v>
      </c>
      <c r="AK86" s="15">
        <v>0</v>
      </c>
      <c r="AL86" s="15">
        <v>1</v>
      </c>
      <c r="AM86" s="20">
        <v>1</v>
      </c>
      <c r="AN86" s="20">
        <v>0</v>
      </c>
      <c r="AO86" s="20">
        <v>0</v>
      </c>
      <c r="AP86" s="20">
        <v>0</v>
      </c>
      <c r="AQ86" s="20">
        <v>0</v>
      </c>
      <c r="AR86" s="20">
        <v>0</v>
      </c>
      <c r="AS86" s="20">
        <v>0</v>
      </c>
      <c r="AT86" s="20">
        <v>0</v>
      </c>
      <c r="AU86" s="20">
        <v>0</v>
      </c>
      <c r="AV86" s="20">
        <v>0</v>
      </c>
      <c r="AW86" s="20">
        <v>0</v>
      </c>
      <c r="AX86" s="20">
        <v>0</v>
      </c>
    </row>
    <row r="87" spans="1:50" x14ac:dyDescent="0.3">
      <c r="A87" s="11">
        <v>15</v>
      </c>
      <c r="B87" s="11">
        <v>1</v>
      </c>
      <c r="C87" s="15">
        <v>0</v>
      </c>
      <c r="D87" s="15">
        <v>1</v>
      </c>
      <c r="E87" s="15">
        <v>0</v>
      </c>
      <c r="F87" s="15">
        <v>0</v>
      </c>
      <c r="G87" s="15">
        <v>1</v>
      </c>
      <c r="H87" s="15">
        <v>0</v>
      </c>
      <c r="I87" s="15">
        <v>0</v>
      </c>
      <c r="J87" s="15">
        <v>1</v>
      </c>
      <c r="K87" s="15">
        <v>0</v>
      </c>
      <c r="L87" s="15">
        <v>0</v>
      </c>
      <c r="M87" s="15">
        <v>0</v>
      </c>
      <c r="N87" s="15">
        <v>1</v>
      </c>
      <c r="O87" s="20">
        <v>0</v>
      </c>
      <c r="P87" s="20">
        <v>1</v>
      </c>
      <c r="Q87" s="20">
        <v>0</v>
      </c>
      <c r="R87" s="20">
        <v>0</v>
      </c>
      <c r="S87" s="20">
        <v>0</v>
      </c>
      <c r="T87" s="20">
        <v>1</v>
      </c>
      <c r="U87" s="20">
        <v>1</v>
      </c>
      <c r="V87" s="20">
        <v>0</v>
      </c>
      <c r="W87" s="20">
        <v>0</v>
      </c>
      <c r="X87" s="20">
        <v>1</v>
      </c>
      <c r="Y87" s="20">
        <v>0</v>
      </c>
      <c r="Z87" s="20">
        <v>0</v>
      </c>
      <c r="AA87" s="15">
        <v>0</v>
      </c>
      <c r="AB87" s="15">
        <v>1</v>
      </c>
      <c r="AC87" s="15">
        <v>0</v>
      </c>
      <c r="AD87" s="15">
        <v>0</v>
      </c>
      <c r="AE87" s="15">
        <v>0</v>
      </c>
      <c r="AF87" s="15">
        <v>0</v>
      </c>
      <c r="AG87" s="15">
        <v>0</v>
      </c>
      <c r="AH87" s="15">
        <v>0</v>
      </c>
      <c r="AI87" s="15">
        <v>0</v>
      </c>
      <c r="AJ87" s="15">
        <v>0</v>
      </c>
      <c r="AK87" s="15">
        <v>0</v>
      </c>
      <c r="AL87" s="15">
        <v>0</v>
      </c>
      <c r="AM87" s="20">
        <v>1</v>
      </c>
      <c r="AN87" s="20">
        <v>0</v>
      </c>
      <c r="AO87" s="20">
        <v>0</v>
      </c>
      <c r="AP87" s="20">
        <v>0</v>
      </c>
      <c r="AQ87" s="20">
        <v>0</v>
      </c>
      <c r="AR87" s="20">
        <v>0</v>
      </c>
      <c r="AS87" s="20">
        <v>0</v>
      </c>
      <c r="AT87" s="20">
        <v>0</v>
      </c>
      <c r="AU87" s="20">
        <v>0</v>
      </c>
      <c r="AV87" s="20">
        <v>0</v>
      </c>
      <c r="AW87" s="20">
        <v>0</v>
      </c>
      <c r="AX87" s="20">
        <v>0</v>
      </c>
    </row>
    <row r="88" spans="1:50" x14ac:dyDescent="0.3">
      <c r="A88" s="11">
        <v>15</v>
      </c>
      <c r="B88" s="11">
        <v>2</v>
      </c>
      <c r="C88" s="15">
        <v>0</v>
      </c>
      <c r="D88" s="15">
        <v>0</v>
      </c>
      <c r="E88" s="15">
        <v>1</v>
      </c>
      <c r="F88" s="15">
        <v>0</v>
      </c>
      <c r="G88" s="15">
        <v>0</v>
      </c>
      <c r="H88" s="15">
        <v>1</v>
      </c>
      <c r="I88" s="15">
        <v>0</v>
      </c>
      <c r="J88" s="15">
        <v>0</v>
      </c>
      <c r="K88" s="15">
        <v>1</v>
      </c>
      <c r="L88" s="15">
        <v>0</v>
      </c>
      <c r="M88" s="15">
        <v>0</v>
      </c>
      <c r="N88" s="15">
        <v>0</v>
      </c>
      <c r="O88" s="20">
        <v>0</v>
      </c>
      <c r="P88" s="20">
        <v>0</v>
      </c>
      <c r="Q88" s="20">
        <v>0</v>
      </c>
      <c r="R88" s="20">
        <v>1</v>
      </c>
      <c r="S88" s="20">
        <v>0</v>
      </c>
      <c r="T88" s="20">
        <v>1</v>
      </c>
      <c r="U88" s="20">
        <v>0</v>
      </c>
      <c r="V88" s="20">
        <v>1</v>
      </c>
      <c r="W88" s="20">
        <v>0</v>
      </c>
      <c r="X88" s="20">
        <v>0</v>
      </c>
      <c r="Y88" s="20">
        <v>1</v>
      </c>
      <c r="Z88" s="20">
        <v>0</v>
      </c>
      <c r="AA88" s="15">
        <v>0</v>
      </c>
      <c r="AB88" s="15">
        <v>0</v>
      </c>
      <c r="AC88" s="15">
        <v>0</v>
      </c>
      <c r="AD88" s="15">
        <v>0</v>
      </c>
      <c r="AE88" s="15">
        <v>0</v>
      </c>
      <c r="AF88" s="15">
        <v>1</v>
      </c>
      <c r="AG88" s="15">
        <v>0</v>
      </c>
      <c r="AH88" s="15">
        <v>0</v>
      </c>
      <c r="AI88" s="15">
        <v>0</v>
      </c>
      <c r="AJ88" s="15">
        <v>0</v>
      </c>
      <c r="AK88" s="15">
        <v>0</v>
      </c>
      <c r="AL88" s="15">
        <v>1</v>
      </c>
      <c r="AM88" s="20">
        <v>1</v>
      </c>
      <c r="AN88" s="20">
        <v>0</v>
      </c>
      <c r="AO88" s="20">
        <v>0</v>
      </c>
      <c r="AP88" s="20">
        <v>0</v>
      </c>
      <c r="AQ88" s="20">
        <v>0</v>
      </c>
      <c r="AR88" s="20">
        <v>0</v>
      </c>
      <c r="AS88" s="20">
        <v>0</v>
      </c>
      <c r="AT88" s="20">
        <v>0</v>
      </c>
      <c r="AU88" s="20">
        <v>0</v>
      </c>
      <c r="AV88" s="20">
        <v>0</v>
      </c>
      <c r="AW88" s="20">
        <v>0</v>
      </c>
      <c r="AX88" s="20">
        <v>0</v>
      </c>
    </row>
    <row r="89" spans="1:50" x14ac:dyDescent="0.3">
      <c r="A89" s="11">
        <v>15</v>
      </c>
      <c r="B89" s="11">
        <v>3</v>
      </c>
      <c r="C89" s="15">
        <v>0</v>
      </c>
      <c r="D89" s="15">
        <v>0</v>
      </c>
      <c r="E89" s="15">
        <v>0</v>
      </c>
      <c r="F89" s="15">
        <v>1</v>
      </c>
      <c r="G89" s="15">
        <v>0</v>
      </c>
      <c r="H89" s="15">
        <v>0</v>
      </c>
      <c r="I89" s="15">
        <v>1</v>
      </c>
      <c r="J89" s="15">
        <v>0</v>
      </c>
      <c r="K89" s="15">
        <v>0</v>
      </c>
      <c r="L89" s="15">
        <v>0</v>
      </c>
      <c r="M89" s="15">
        <v>0</v>
      </c>
      <c r="N89" s="15">
        <v>1</v>
      </c>
      <c r="O89" s="20">
        <v>0</v>
      </c>
      <c r="P89" s="20">
        <v>1</v>
      </c>
      <c r="Q89" s="20">
        <v>0</v>
      </c>
      <c r="R89" s="20">
        <v>0</v>
      </c>
      <c r="S89" s="20">
        <v>1</v>
      </c>
      <c r="T89" s="20">
        <v>0</v>
      </c>
      <c r="U89" s="20">
        <v>0</v>
      </c>
      <c r="V89" s="20">
        <v>1</v>
      </c>
      <c r="W89" s="20">
        <v>0</v>
      </c>
      <c r="X89" s="20">
        <v>0</v>
      </c>
      <c r="Y89" s="20">
        <v>0</v>
      </c>
      <c r="Z89" s="20">
        <v>1</v>
      </c>
      <c r="AA89" s="15">
        <v>0</v>
      </c>
      <c r="AB89" s="15">
        <v>0</v>
      </c>
      <c r="AC89" s="15">
        <v>0</v>
      </c>
      <c r="AD89" s="15">
        <v>0</v>
      </c>
      <c r="AE89" s="15">
        <v>0</v>
      </c>
      <c r="AF89" s="15">
        <v>1</v>
      </c>
      <c r="AG89" s="15">
        <v>0</v>
      </c>
      <c r="AH89" s="15">
        <v>0</v>
      </c>
      <c r="AI89" s="15">
        <v>0</v>
      </c>
      <c r="AJ89" s="15">
        <v>0</v>
      </c>
      <c r="AK89" s="15">
        <v>0</v>
      </c>
      <c r="AL89" s="15">
        <v>1</v>
      </c>
      <c r="AM89" s="20">
        <v>1</v>
      </c>
      <c r="AN89" s="20">
        <v>0</v>
      </c>
      <c r="AO89" s="20">
        <v>0</v>
      </c>
      <c r="AP89" s="20">
        <v>0</v>
      </c>
      <c r="AQ89" s="20">
        <v>0</v>
      </c>
      <c r="AR89" s="20">
        <v>0</v>
      </c>
      <c r="AS89" s="20">
        <v>0</v>
      </c>
      <c r="AT89" s="20">
        <v>0</v>
      </c>
      <c r="AU89" s="20">
        <v>0</v>
      </c>
      <c r="AV89" s="20">
        <v>0</v>
      </c>
      <c r="AW89" s="20">
        <v>0</v>
      </c>
      <c r="AX89" s="20">
        <v>0</v>
      </c>
    </row>
    <row r="90" spans="1:50" x14ac:dyDescent="0.3">
      <c r="A90" s="11">
        <v>15</v>
      </c>
      <c r="B90" s="11">
        <v>4</v>
      </c>
      <c r="C90" s="15">
        <v>0</v>
      </c>
      <c r="D90" s="15">
        <v>0</v>
      </c>
      <c r="E90" s="15">
        <v>0</v>
      </c>
      <c r="F90" s="15">
        <v>1</v>
      </c>
      <c r="G90" s="15">
        <v>1</v>
      </c>
      <c r="H90" s="15">
        <v>0</v>
      </c>
      <c r="I90" s="15">
        <v>0</v>
      </c>
      <c r="J90" s="15">
        <v>0</v>
      </c>
      <c r="K90" s="15">
        <v>1</v>
      </c>
      <c r="L90" s="15">
        <v>1</v>
      </c>
      <c r="M90" s="15">
        <v>0</v>
      </c>
      <c r="N90" s="15">
        <v>0</v>
      </c>
      <c r="O90" s="20">
        <v>0</v>
      </c>
      <c r="P90" s="20">
        <v>0</v>
      </c>
      <c r="Q90" s="20">
        <v>1</v>
      </c>
      <c r="R90" s="20">
        <v>0</v>
      </c>
      <c r="S90" s="20">
        <v>0</v>
      </c>
      <c r="T90" s="20">
        <v>1</v>
      </c>
      <c r="U90" s="20">
        <v>0</v>
      </c>
      <c r="V90" s="20">
        <v>0</v>
      </c>
      <c r="W90" s="20">
        <v>1</v>
      </c>
      <c r="X90" s="20">
        <v>0</v>
      </c>
      <c r="Y90" s="20">
        <v>0</v>
      </c>
      <c r="Z90" s="20">
        <v>0</v>
      </c>
      <c r="AA90" s="15">
        <v>0</v>
      </c>
      <c r="AB90" s="15">
        <v>0</v>
      </c>
      <c r="AC90" s="15">
        <v>0</v>
      </c>
      <c r="AD90" s="15">
        <v>0</v>
      </c>
      <c r="AE90" s="15">
        <v>0</v>
      </c>
      <c r="AF90" s="15">
        <v>0</v>
      </c>
      <c r="AG90" s="15">
        <v>0</v>
      </c>
      <c r="AH90" s="15">
        <v>0</v>
      </c>
      <c r="AI90" s="15">
        <v>1</v>
      </c>
      <c r="AJ90" s="15">
        <v>0</v>
      </c>
      <c r="AK90" s="15">
        <v>1</v>
      </c>
      <c r="AL90" s="15">
        <v>0</v>
      </c>
      <c r="AM90" s="20">
        <v>1</v>
      </c>
      <c r="AN90" s="20">
        <v>0</v>
      </c>
      <c r="AO90" s="20">
        <v>0</v>
      </c>
      <c r="AP90" s="20">
        <v>0</v>
      </c>
      <c r="AQ90" s="20">
        <v>0</v>
      </c>
      <c r="AR90" s="20">
        <v>0</v>
      </c>
      <c r="AS90" s="20">
        <v>0</v>
      </c>
      <c r="AT90" s="20">
        <v>0</v>
      </c>
      <c r="AU90" s="20">
        <v>0</v>
      </c>
      <c r="AV90" s="20">
        <v>0</v>
      </c>
      <c r="AW90" s="20">
        <v>0</v>
      </c>
      <c r="AX90" s="20">
        <v>0</v>
      </c>
    </row>
    <row r="91" spans="1:50" x14ac:dyDescent="0.3">
      <c r="A91" s="11">
        <v>15</v>
      </c>
      <c r="B91" s="11">
        <v>5</v>
      </c>
      <c r="C91" s="15">
        <v>0</v>
      </c>
      <c r="D91" s="15">
        <v>0</v>
      </c>
      <c r="E91" s="15">
        <v>0</v>
      </c>
      <c r="F91" s="15">
        <v>1</v>
      </c>
      <c r="G91" s="15">
        <v>0</v>
      </c>
      <c r="H91" s="15">
        <v>1</v>
      </c>
      <c r="I91" s="15">
        <v>0</v>
      </c>
      <c r="J91" s="15">
        <v>1</v>
      </c>
      <c r="K91" s="15">
        <v>0</v>
      </c>
      <c r="L91" s="15">
        <v>0</v>
      </c>
      <c r="M91" s="15">
        <v>1</v>
      </c>
      <c r="N91" s="15">
        <v>0</v>
      </c>
      <c r="O91" s="20">
        <v>0</v>
      </c>
      <c r="P91" s="20">
        <v>0</v>
      </c>
      <c r="Q91" s="20">
        <v>1</v>
      </c>
      <c r="R91" s="20">
        <v>0</v>
      </c>
      <c r="S91" s="20">
        <v>1</v>
      </c>
      <c r="T91" s="20">
        <v>0</v>
      </c>
      <c r="U91" s="20">
        <v>0</v>
      </c>
      <c r="V91" s="20">
        <v>0</v>
      </c>
      <c r="W91" s="20">
        <v>0</v>
      </c>
      <c r="X91" s="20">
        <v>0</v>
      </c>
      <c r="Y91" s="20">
        <v>1</v>
      </c>
      <c r="Z91" s="20">
        <v>0</v>
      </c>
      <c r="AA91" s="15">
        <v>0</v>
      </c>
      <c r="AB91" s="15">
        <v>0</v>
      </c>
      <c r="AC91" s="15">
        <v>0</v>
      </c>
      <c r="AD91" s="15">
        <v>0</v>
      </c>
      <c r="AE91" s="15">
        <v>0</v>
      </c>
      <c r="AF91" s="15">
        <v>0</v>
      </c>
      <c r="AG91" s="15">
        <v>0</v>
      </c>
      <c r="AH91" s="15">
        <v>0</v>
      </c>
      <c r="AI91" s="15">
        <v>1</v>
      </c>
      <c r="AJ91" s="15">
        <v>0</v>
      </c>
      <c r="AK91" s="15">
        <v>1</v>
      </c>
      <c r="AL91" s="15">
        <v>0</v>
      </c>
      <c r="AM91" s="20">
        <v>1</v>
      </c>
      <c r="AN91" s="20">
        <v>0</v>
      </c>
      <c r="AO91" s="20">
        <v>0</v>
      </c>
      <c r="AP91" s="20">
        <v>0</v>
      </c>
      <c r="AQ91" s="20">
        <v>0</v>
      </c>
      <c r="AR91" s="20">
        <v>0</v>
      </c>
      <c r="AS91" s="20">
        <v>0</v>
      </c>
      <c r="AT91" s="20">
        <v>0</v>
      </c>
      <c r="AU91" s="20">
        <v>0</v>
      </c>
      <c r="AV91" s="20">
        <v>0</v>
      </c>
      <c r="AW91" s="20">
        <v>0</v>
      </c>
      <c r="AX91" s="20">
        <v>0</v>
      </c>
    </row>
    <row r="92" spans="1:50" x14ac:dyDescent="0.3">
      <c r="A92" s="11">
        <v>15</v>
      </c>
      <c r="B92" s="11">
        <v>6</v>
      </c>
      <c r="C92" s="15">
        <v>0</v>
      </c>
      <c r="D92" s="15">
        <v>1</v>
      </c>
      <c r="E92" s="15">
        <v>0</v>
      </c>
      <c r="F92" s="15">
        <v>0</v>
      </c>
      <c r="G92" s="15">
        <v>0</v>
      </c>
      <c r="H92" s="15">
        <v>0</v>
      </c>
      <c r="I92" s="15">
        <v>0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20">
        <v>0</v>
      </c>
      <c r="P92" s="20">
        <v>0</v>
      </c>
      <c r="Q92" s="20">
        <v>1</v>
      </c>
      <c r="R92" s="20">
        <v>0</v>
      </c>
      <c r="S92" s="20">
        <v>0</v>
      </c>
      <c r="T92" s="20">
        <v>0</v>
      </c>
      <c r="U92" s="20">
        <v>0</v>
      </c>
      <c r="V92" s="20">
        <v>1</v>
      </c>
      <c r="W92" s="20">
        <v>0</v>
      </c>
      <c r="X92" s="20">
        <v>1</v>
      </c>
      <c r="Y92" s="20">
        <v>0</v>
      </c>
      <c r="Z92" s="20">
        <v>0</v>
      </c>
      <c r="AA92" s="15">
        <v>0</v>
      </c>
      <c r="AB92" s="15">
        <v>0</v>
      </c>
      <c r="AC92" s="15">
        <v>0</v>
      </c>
      <c r="AD92" s="15">
        <v>1</v>
      </c>
      <c r="AE92" s="15">
        <v>0</v>
      </c>
      <c r="AF92" s="15">
        <v>0</v>
      </c>
      <c r="AG92" s="15">
        <v>1</v>
      </c>
      <c r="AH92" s="15">
        <v>0</v>
      </c>
      <c r="AI92" s="15">
        <v>0</v>
      </c>
      <c r="AJ92" s="15">
        <v>0</v>
      </c>
      <c r="AK92" s="15">
        <v>0</v>
      </c>
      <c r="AL92" s="15">
        <v>1</v>
      </c>
      <c r="AM92" s="20">
        <v>1</v>
      </c>
      <c r="AN92" s="20">
        <v>0</v>
      </c>
      <c r="AO92" s="20">
        <v>0</v>
      </c>
      <c r="AP92" s="20">
        <v>0</v>
      </c>
      <c r="AQ92" s="20">
        <v>0</v>
      </c>
      <c r="AR92" s="20">
        <v>0</v>
      </c>
      <c r="AS92" s="20">
        <v>0</v>
      </c>
      <c r="AT92" s="20">
        <v>0</v>
      </c>
      <c r="AU92" s="20">
        <v>0</v>
      </c>
      <c r="AV92" s="20">
        <v>0</v>
      </c>
      <c r="AW92" s="20">
        <v>0</v>
      </c>
      <c r="AX92" s="20">
        <v>0</v>
      </c>
    </row>
    <row r="93" spans="1:50" x14ac:dyDescent="0.3">
      <c r="A93" s="11">
        <v>16</v>
      </c>
      <c r="B93" s="11">
        <v>1</v>
      </c>
      <c r="C93" s="15">
        <v>0</v>
      </c>
      <c r="D93" s="15">
        <v>1</v>
      </c>
      <c r="E93" s="15">
        <v>0</v>
      </c>
      <c r="F93" s="15">
        <v>0</v>
      </c>
      <c r="G93" s="15">
        <v>1</v>
      </c>
      <c r="H93" s="15">
        <v>0</v>
      </c>
      <c r="I93" s="15">
        <v>0</v>
      </c>
      <c r="J93" s="15">
        <v>1</v>
      </c>
      <c r="K93" s="15">
        <v>0</v>
      </c>
      <c r="L93" s="15">
        <v>0</v>
      </c>
      <c r="M93" s="15">
        <v>0</v>
      </c>
      <c r="N93" s="15">
        <v>1</v>
      </c>
      <c r="O93" s="20">
        <v>0</v>
      </c>
      <c r="P93" s="20">
        <v>1</v>
      </c>
      <c r="Q93" s="20">
        <v>0</v>
      </c>
      <c r="R93" s="20">
        <v>0</v>
      </c>
      <c r="S93" s="20">
        <v>0</v>
      </c>
      <c r="T93" s="20">
        <v>1</v>
      </c>
      <c r="U93" s="20">
        <v>1</v>
      </c>
      <c r="V93" s="20">
        <v>0</v>
      </c>
      <c r="W93" s="20">
        <v>0</v>
      </c>
      <c r="X93" s="20">
        <v>1</v>
      </c>
      <c r="Y93" s="20">
        <v>0</v>
      </c>
      <c r="Z93" s="20">
        <v>0</v>
      </c>
      <c r="AA93" s="15">
        <v>0</v>
      </c>
      <c r="AB93" s="15">
        <v>1</v>
      </c>
      <c r="AC93" s="15">
        <v>0</v>
      </c>
      <c r="AD93" s="15">
        <v>0</v>
      </c>
      <c r="AE93" s="15">
        <v>0</v>
      </c>
      <c r="AF93" s="15">
        <v>0</v>
      </c>
      <c r="AG93" s="15">
        <v>0</v>
      </c>
      <c r="AH93" s="15">
        <v>0</v>
      </c>
      <c r="AI93" s="15">
        <v>0</v>
      </c>
      <c r="AJ93" s="15">
        <v>0</v>
      </c>
      <c r="AK93" s="15">
        <v>0</v>
      </c>
      <c r="AL93" s="15">
        <v>0</v>
      </c>
      <c r="AM93" s="20">
        <v>1</v>
      </c>
      <c r="AN93" s="20">
        <v>0</v>
      </c>
      <c r="AO93" s="20">
        <v>0</v>
      </c>
      <c r="AP93" s="20">
        <v>0</v>
      </c>
      <c r="AQ93" s="20">
        <v>0</v>
      </c>
      <c r="AR93" s="20">
        <v>0</v>
      </c>
      <c r="AS93" s="20">
        <v>0</v>
      </c>
      <c r="AT93" s="20">
        <v>0</v>
      </c>
      <c r="AU93" s="20">
        <v>0</v>
      </c>
      <c r="AV93" s="20">
        <v>0</v>
      </c>
      <c r="AW93" s="20">
        <v>0</v>
      </c>
      <c r="AX93" s="20">
        <v>0</v>
      </c>
    </row>
    <row r="94" spans="1:50" x14ac:dyDescent="0.3">
      <c r="A94" s="11">
        <v>16</v>
      </c>
      <c r="B94" s="11">
        <v>2</v>
      </c>
      <c r="C94" s="15">
        <v>0</v>
      </c>
      <c r="D94" s="15">
        <v>0</v>
      </c>
      <c r="E94" s="15">
        <v>1</v>
      </c>
      <c r="F94" s="15">
        <v>0</v>
      </c>
      <c r="G94" s="15">
        <v>0</v>
      </c>
      <c r="H94" s="15">
        <v>1</v>
      </c>
      <c r="I94" s="15">
        <v>0</v>
      </c>
      <c r="J94" s="15">
        <v>0</v>
      </c>
      <c r="K94" s="15">
        <v>1</v>
      </c>
      <c r="L94" s="15">
        <v>0</v>
      </c>
      <c r="M94" s="15">
        <v>0</v>
      </c>
      <c r="N94" s="15">
        <v>0</v>
      </c>
      <c r="O94" s="20">
        <v>0</v>
      </c>
      <c r="P94" s="20">
        <v>0</v>
      </c>
      <c r="Q94" s="20">
        <v>0</v>
      </c>
      <c r="R94" s="20">
        <v>1</v>
      </c>
      <c r="S94" s="20">
        <v>0</v>
      </c>
      <c r="T94" s="20">
        <v>1</v>
      </c>
      <c r="U94" s="20">
        <v>0</v>
      </c>
      <c r="V94" s="20">
        <v>1</v>
      </c>
      <c r="W94" s="20">
        <v>0</v>
      </c>
      <c r="X94" s="20">
        <v>0</v>
      </c>
      <c r="Y94" s="20">
        <v>1</v>
      </c>
      <c r="Z94" s="20">
        <v>0</v>
      </c>
      <c r="AA94" s="15">
        <v>0</v>
      </c>
      <c r="AB94" s="15">
        <v>0</v>
      </c>
      <c r="AC94" s="15">
        <v>0</v>
      </c>
      <c r="AD94" s="15">
        <v>0</v>
      </c>
      <c r="AE94" s="15">
        <v>0</v>
      </c>
      <c r="AF94" s="15">
        <v>1</v>
      </c>
      <c r="AG94" s="15">
        <v>0</v>
      </c>
      <c r="AH94" s="15">
        <v>0</v>
      </c>
      <c r="AI94" s="15">
        <v>0</v>
      </c>
      <c r="AJ94" s="15">
        <v>0</v>
      </c>
      <c r="AK94" s="15">
        <v>0</v>
      </c>
      <c r="AL94" s="15">
        <v>1</v>
      </c>
      <c r="AM94" s="20">
        <v>1</v>
      </c>
      <c r="AN94" s="20">
        <v>0</v>
      </c>
      <c r="AO94" s="20">
        <v>0</v>
      </c>
      <c r="AP94" s="20">
        <v>0</v>
      </c>
      <c r="AQ94" s="20">
        <v>0</v>
      </c>
      <c r="AR94" s="20">
        <v>0</v>
      </c>
      <c r="AS94" s="20">
        <v>0</v>
      </c>
      <c r="AT94" s="20">
        <v>0</v>
      </c>
      <c r="AU94" s="20">
        <v>0</v>
      </c>
      <c r="AV94" s="20">
        <v>0</v>
      </c>
      <c r="AW94" s="20">
        <v>0</v>
      </c>
      <c r="AX94" s="20">
        <v>0</v>
      </c>
    </row>
    <row r="95" spans="1:50" x14ac:dyDescent="0.3">
      <c r="A95" s="11">
        <v>16</v>
      </c>
      <c r="B95" s="11">
        <v>3</v>
      </c>
      <c r="C95" s="15">
        <v>0</v>
      </c>
      <c r="D95" s="15">
        <v>0</v>
      </c>
      <c r="E95" s="15">
        <v>0</v>
      </c>
      <c r="F95" s="15">
        <v>1</v>
      </c>
      <c r="G95" s="15">
        <v>0</v>
      </c>
      <c r="H95" s="15">
        <v>0</v>
      </c>
      <c r="I95" s="15">
        <v>1</v>
      </c>
      <c r="J95" s="15">
        <v>0</v>
      </c>
      <c r="K95" s="15">
        <v>0</v>
      </c>
      <c r="L95" s="15">
        <v>0</v>
      </c>
      <c r="M95" s="15">
        <v>0</v>
      </c>
      <c r="N95" s="15">
        <v>1</v>
      </c>
      <c r="O95" s="20">
        <v>0</v>
      </c>
      <c r="P95" s="20">
        <v>1</v>
      </c>
      <c r="Q95" s="20">
        <v>0</v>
      </c>
      <c r="R95" s="20">
        <v>0</v>
      </c>
      <c r="S95" s="20">
        <v>1</v>
      </c>
      <c r="T95" s="20">
        <v>0</v>
      </c>
      <c r="U95" s="20">
        <v>0</v>
      </c>
      <c r="V95" s="20">
        <v>1</v>
      </c>
      <c r="W95" s="20">
        <v>0</v>
      </c>
      <c r="X95" s="20">
        <v>0</v>
      </c>
      <c r="Y95" s="20">
        <v>0</v>
      </c>
      <c r="Z95" s="20">
        <v>1</v>
      </c>
      <c r="AA95" s="15">
        <v>0</v>
      </c>
      <c r="AB95" s="15">
        <v>0</v>
      </c>
      <c r="AC95" s="15">
        <v>0</v>
      </c>
      <c r="AD95" s="15">
        <v>0</v>
      </c>
      <c r="AE95" s="15">
        <v>0</v>
      </c>
      <c r="AF95" s="15">
        <v>1</v>
      </c>
      <c r="AG95" s="15">
        <v>0</v>
      </c>
      <c r="AH95" s="15">
        <v>0</v>
      </c>
      <c r="AI95" s="15">
        <v>0</v>
      </c>
      <c r="AJ95" s="15">
        <v>0</v>
      </c>
      <c r="AK95" s="15">
        <v>0</v>
      </c>
      <c r="AL95" s="15">
        <v>1</v>
      </c>
      <c r="AM95" s="20">
        <v>1</v>
      </c>
      <c r="AN95" s="20">
        <v>0</v>
      </c>
      <c r="AO95" s="20">
        <v>0</v>
      </c>
      <c r="AP95" s="20">
        <v>0</v>
      </c>
      <c r="AQ95" s="20">
        <v>0</v>
      </c>
      <c r="AR95" s="20">
        <v>0</v>
      </c>
      <c r="AS95" s="20">
        <v>0</v>
      </c>
      <c r="AT95" s="20">
        <v>0</v>
      </c>
      <c r="AU95" s="20">
        <v>0</v>
      </c>
      <c r="AV95" s="20">
        <v>0</v>
      </c>
      <c r="AW95" s="20">
        <v>0</v>
      </c>
      <c r="AX95" s="20">
        <v>0</v>
      </c>
    </row>
    <row r="96" spans="1:50" x14ac:dyDescent="0.3">
      <c r="A96" s="11">
        <v>16</v>
      </c>
      <c r="B96" s="11">
        <v>4</v>
      </c>
      <c r="C96" s="15">
        <v>0</v>
      </c>
      <c r="D96" s="15">
        <v>0</v>
      </c>
      <c r="E96" s="15">
        <v>0</v>
      </c>
      <c r="F96" s="15">
        <v>1</v>
      </c>
      <c r="G96" s="15">
        <v>1</v>
      </c>
      <c r="H96" s="15">
        <v>0</v>
      </c>
      <c r="I96" s="15">
        <v>0</v>
      </c>
      <c r="J96" s="15">
        <v>0</v>
      </c>
      <c r="K96" s="15">
        <v>1</v>
      </c>
      <c r="L96" s="15">
        <v>1</v>
      </c>
      <c r="M96" s="15">
        <v>0</v>
      </c>
      <c r="N96" s="15">
        <v>0</v>
      </c>
      <c r="O96" s="20">
        <v>0</v>
      </c>
      <c r="P96" s="20">
        <v>0</v>
      </c>
      <c r="Q96" s="20">
        <v>1</v>
      </c>
      <c r="R96" s="20">
        <v>0</v>
      </c>
      <c r="S96" s="20">
        <v>0</v>
      </c>
      <c r="T96" s="20">
        <v>1</v>
      </c>
      <c r="U96" s="20">
        <v>0</v>
      </c>
      <c r="V96" s="20">
        <v>0</v>
      </c>
      <c r="W96" s="20">
        <v>1</v>
      </c>
      <c r="X96" s="20">
        <v>0</v>
      </c>
      <c r="Y96" s="20">
        <v>0</v>
      </c>
      <c r="Z96" s="20">
        <v>0</v>
      </c>
      <c r="AA96" s="15">
        <v>0</v>
      </c>
      <c r="AB96" s="15">
        <v>0</v>
      </c>
      <c r="AC96" s="15">
        <v>0</v>
      </c>
      <c r="AD96" s="15">
        <v>0</v>
      </c>
      <c r="AE96" s="15">
        <v>0</v>
      </c>
      <c r="AF96" s="15">
        <v>0</v>
      </c>
      <c r="AG96" s="15">
        <v>0</v>
      </c>
      <c r="AH96" s="15">
        <v>0</v>
      </c>
      <c r="AI96" s="15">
        <v>1</v>
      </c>
      <c r="AJ96" s="15">
        <v>0</v>
      </c>
      <c r="AK96" s="15">
        <v>1</v>
      </c>
      <c r="AL96" s="15">
        <v>0</v>
      </c>
      <c r="AM96" s="20">
        <v>1</v>
      </c>
      <c r="AN96" s="20">
        <v>0</v>
      </c>
      <c r="AO96" s="20">
        <v>0</v>
      </c>
      <c r="AP96" s="20">
        <v>0</v>
      </c>
      <c r="AQ96" s="20">
        <v>0</v>
      </c>
      <c r="AR96" s="20">
        <v>0</v>
      </c>
      <c r="AS96" s="20">
        <v>0</v>
      </c>
      <c r="AT96" s="20">
        <v>0</v>
      </c>
      <c r="AU96" s="20">
        <v>0</v>
      </c>
      <c r="AV96" s="20">
        <v>0</v>
      </c>
      <c r="AW96" s="20">
        <v>0</v>
      </c>
      <c r="AX96" s="20">
        <v>0</v>
      </c>
    </row>
    <row r="97" spans="1:50" x14ac:dyDescent="0.3">
      <c r="A97" s="11">
        <v>16</v>
      </c>
      <c r="B97" s="11">
        <v>5</v>
      </c>
      <c r="C97" s="15">
        <v>0</v>
      </c>
      <c r="D97" s="15">
        <v>0</v>
      </c>
      <c r="E97" s="15">
        <v>0</v>
      </c>
      <c r="F97" s="15">
        <v>1</v>
      </c>
      <c r="G97" s="15">
        <v>0</v>
      </c>
      <c r="H97" s="15">
        <v>1</v>
      </c>
      <c r="I97" s="15">
        <v>0</v>
      </c>
      <c r="J97" s="15">
        <v>1</v>
      </c>
      <c r="K97" s="15">
        <v>0</v>
      </c>
      <c r="L97" s="15">
        <v>0</v>
      </c>
      <c r="M97" s="15">
        <v>1</v>
      </c>
      <c r="N97" s="15">
        <v>0</v>
      </c>
      <c r="O97" s="20">
        <v>0</v>
      </c>
      <c r="P97" s="20">
        <v>0</v>
      </c>
      <c r="Q97" s="20">
        <v>1</v>
      </c>
      <c r="R97" s="20">
        <v>0</v>
      </c>
      <c r="S97" s="20">
        <v>1</v>
      </c>
      <c r="T97" s="20">
        <v>0</v>
      </c>
      <c r="U97" s="20">
        <v>0</v>
      </c>
      <c r="V97" s="20">
        <v>0</v>
      </c>
      <c r="W97" s="20">
        <v>0</v>
      </c>
      <c r="X97" s="20">
        <v>0</v>
      </c>
      <c r="Y97" s="20">
        <v>1</v>
      </c>
      <c r="Z97" s="20">
        <v>0</v>
      </c>
      <c r="AA97" s="15">
        <v>0</v>
      </c>
      <c r="AB97" s="15">
        <v>0</v>
      </c>
      <c r="AC97" s="15">
        <v>0</v>
      </c>
      <c r="AD97" s="15">
        <v>0</v>
      </c>
      <c r="AE97" s="15">
        <v>0</v>
      </c>
      <c r="AF97" s="15">
        <v>0</v>
      </c>
      <c r="AG97" s="15">
        <v>0</v>
      </c>
      <c r="AH97" s="15">
        <v>0</v>
      </c>
      <c r="AI97" s="15">
        <v>1</v>
      </c>
      <c r="AJ97" s="15">
        <v>0</v>
      </c>
      <c r="AK97" s="15">
        <v>1</v>
      </c>
      <c r="AL97" s="15">
        <v>0</v>
      </c>
      <c r="AM97" s="20">
        <v>1</v>
      </c>
      <c r="AN97" s="20">
        <v>0</v>
      </c>
      <c r="AO97" s="20">
        <v>0</v>
      </c>
      <c r="AP97" s="20">
        <v>0</v>
      </c>
      <c r="AQ97" s="20">
        <v>0</v>
      </c>
      <c r="AR97" s="20">
        <v>0</v>
      </c>
      <c r="AS97" s="20">
        <v>0</v>
      </c>
      <c r="AT97" s="20">
        <v>0</v>
      </c>
      <c r="AU97" s="20">
        <v>0</v>
      </c>
      <c r="AV97" s="20">
        <v>0</v>
      </c>
      <c r="AW97" s="20">
        <v>0</v>
      </c>
      <c r="AX97" s="20">
        <v>0</v>
      </c>
    </row>
    <row r="98" spans="1:50" x14ac:dyDescent="0.3">
      <c r="A98" s="11">
        <v>16</v>
      </c>
      <c r="B98" s="11">
        <v>6</v>
      </c>
      <c r="C98" s="15">
        <v>0</v>
      </c>
      <c r="D98" s="15">
        <v>1</v>
      </c>
      <c r="E98" s="15">
        <v>0</v>
      </c>
      <c r="F98" s="15">
        <v>0</v>
      </c>
      <c r="G98" s="15">
        <v>0</v>
      </c>
      <c r="H98" s="15">
        <v>0</v>
      </c>
      <c r="I98" s="15">
        <v>0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  <c r="O98" s="20">
        <v>0</v>
      </c>
      <c r="P98" s="20">
        <v>0</v>
      </c>
      <c r="Q98" s="20">
        <v>1</v>
      </c>
      <c r="R98" s="20">
        <v>0</v>
      </c>
      <c r="S98" s="20">
        <v>0</v>
      </c>
      <c r="T98" s="20">
        <v>0</v>
      </c>
      <c r="U98" s="20">
        <v>0</v>
      </c>
      <c r="V98" s="20">
        <v>1</v>
      </c>
      <c r="W98" s="20">
        <v>0</v>
      </c>
      <c r="X98" s="20">
        <v>1</v>
      </c>
      <c r="Y98" s="20">
        <v>0</v>
      </c>
      <c r="Z98" s="20">
        <v>0</v>
      </c>
      <c r="AA98" s="15">
        <v>0</v>
      </c>
      <c r="AB98" s="15">
        <v>0</v>
      </c>
      <c r="AC98" s="15">
        <v>0</v>
      </c>
      <c r="AD98" s="15">
        <v>1</v>
      </c>
      <c r="AE98" s="15">
        <v>0</v>
      </c>
      <c r="AF98" s="15">
        <v>0</v>
      </c>
      <c r="AG98" s="15">
        <v>1</v>
      </c>
      <c r="AH98" s="15">
        <v>0</v>
      </c>
      <c r="AI98" s="15">
        <v>0</v>
      </c>
      <c r="AJ98" s="15">
        <v>0</v>
      </c>
      <c r="AK98" s="15">
        <v>0</v>
      </c>
      <c r="AL98" s="15">
        <v>1</v>
      </c>
      <c r="AM98" s="20">
        <v>1</v>
      </c>
      <c r="AN98" s="20">
        <v>0</v>
      </c>
      <c r="AO98" s="20">
        <v>0</v>
      </c>
      <c r="AP98" s="20">
        <v>0</v>
      </c>
      <c r="AQ98" s="20">
        <v>0</v>
      </c>
      <c r="AR98" s="20">
        <v>0</v>
      </c>
      <c r="AS98" s="20">
        <v>0</v>
      </c>
      <c r="AT98" s="20">
        <v>0</v>
      </c>
      <c r="AU98" s="20">
        <v>0</v>
      </c>
      <c r="AV98" s="20">
        <v>0</v>
      </c>
      <c r="AW98" s="20">
        <v>0</v>
      </c>
      <c r="AX98" s="20">
        <v>0</v>
      </c>
    </row>
    <row r="99" spans="1:50" x14ac:dyDescent="0.3">
      <c r="A99" s="11">
        <v>17</v>
      </c>
      <c r="B99" s="11">
        <v>1</v>
      </c>
      <c r="C99" s="15">
        <v>0</v>
      </c>
      <c r="D99" s="15">
        <v>1</v>
      </c>
      <c r="E99" s="15">
        <v>0</v>
      </c>
      <c r="F99" s="15">
        <v>0</v>
      </c>
      <c r="G99" s="15">
        <v>1</v>
      </c>
      <c r="H99" s="15">
        <v>0</v>
      </c>
      <c r="I99" s="15">
        <v>0</v>
      </c>
      <c r="J99" s="15">
        <v>1</v>
      </c>
      <c r="K99" s="15">
        <v>0</v>
      </c>
      <c r="L99" s="15">
        <v>0</v>
      </c>
      <c r="M99" s="15">
        <v>0</v>
      </c>
      <c r="N99" s="15">
        <v>1</v>
      </c>
      <c r="O99" s="20">
        <v>0</v>
      </c>
      <c r="P99" s="20">
        <v>1</v>
      </c>
      <c r="Q99" s="20">
        <v>0</v>
      </c>
      <c r="R99" s="20">
        <v>0</v>
      </c>
      <c r="S99" s="20">
        <v>0</v>
      </c>
      <c r="T99" s="20">
        <v>1</v>
      </c>
      <c r="U99" s="20">
        <v>1</v>
      </c>
      <c r="V99" s="20">
        <v>0</v>
      </c>
      <c r="W99" s="20">
        <v>0</v>
      </c>
      <c r="X99" s="20">
        <v>1</v>
      </c>
      <c r="Y99" s="20">
        <v>0</v>
      </c>
      <c r="Z99" s="20">
        <v>0</v>
      </c>
      <c r="AA99" s="15">
        <v>0</v>
      </c>
      <c r="AB99" s="15">
        <v>1</v>
      </c>
      <c r="AC99" s="15">
        <v>0</v>
      </c>
      <c r="AD99" s="15">
        <v>0</v>
      </c>
      <c r="AE99" s="15">
        <v>0</v>
      </c>
      <c r="AF99" s="15">
        <v>0</v>
      </c>
      <c r="AG99" s="15">
        <v>0</v>
      </c>
      <c r="AH99" s="15">
        <v>0</v>
      </c>
      <c r="AI99" s="15">
        <v>0</v>
      </c>
      <c r="AJ99" s="15">
        <v>0</v>
      </c>
      <c r="AK99" s="15">
        <v>0</v>
      </c>
      <c r="AL99" s="15">
        <v>0</v>
      </c>
      <c r="AM99" s="20">
        <v>1</v>
      </c>
      <c r="AN99" s="20">
        <v>0</v>
      </c>
      <c r="AO99" s="20">
        <v>0</v>
      </c>
      <c r="AP99" s="20">
        <v>0</v>
      </c>
      <c r="AQ99" s="20">
        <v>0</v>
      </c>
      <c r="AR99" s="20">
        <v>0</v>
      </c>
      <c r="AS99" s="20">
        <v>0</v>
      </c>
      <c r="AT99" s="20">
        <v>0</v>
      </c>
      <c r="AU99" s="20">
        <v>0</v>
      </c>
      <c r="AV99" s="20">
        <v>0</v>
      </c>
      <c r="AW99" s="20">
        <v>0</v>
      </c>
      <c r="AX99" s="20">
        <v>0</v>
      </c>
    </row>
    <row r="100" spans="1:50" x14ac:dyDescent="0.3">
      <c r="A100" s="11">
        <v>17</v>
      </c>
      <c r="B100" s="11">
        <v>2</v>
      </c>
      <c r="C100" s="15">
        <v>0</v>
      </c>
      <c r="D100" s="15">
        <v>0</v>
      </c>
      <c r="E100" s="15">
        <v>1</v>
      </c>
      <c r="F100" s="15">
        <v>0</v>
      </c>
      <c r="G100" s="15">
        <v>0</v>
      </c>
      <c r="H100" s="15">
        <v>1</v>
      </c>
      <c r="I100" s="15">
        <v>0</v>
      </c>
      <c r="J100" s="15">
        <v>0</v>
      </c>
      <c r="K100" s="15">
        <v>1</v>
      </c>
      <c r="L100" s="15">
        <v>0</v>
      </c>
      <c r="M100" s="15">
        <v>0</v>
      </c>
      <c r="N100" s="15">
        <v>0</v>
      </c>
      <c r="O100" s="20">
        <v>0</v>
      </c>
      <c r="P100" s="20">
        <v>0</v>
      </c>
      <c r="Q100" s="20">
        <v>0</v>
      </c>
      <c r="R100" s="20">
        <v>1</v>
      </c>
      <c r="S100" s="20">
        <v>0</v>
      </c>
      <c r="T100" s="20">
        <v>1</v>
      </c>
      <c r="U100" s="20">
        <v>0</v>
      </c>
      <c r="V100" s="20">
        <v>1</v>
      </c>
      <c r="W100" s="20">
        <v>0</v>
      </c>
      <c r="X100" s="20">
        <v>0</v>
      </c>
      <c r="Y100" s="20">
        <v>1</v>
      </c>
      <c r="Z100" s="20">
        <v>0</v>
      </c>
      <c r="AA100" s="15">
        <v>0</v>
      </c>
      <c r="AB100" s="15">
        <v>0</v>
      </c>
      <c r="AC100" s="15">
        <v>0</v>
      </c>
      <c r="AD100" s="15">
        <v>0</v>
      </c>
      <c r="AE100" s="15">
        <v>0</v>
      </c>
      <c r="AF100" s="15">
        <v>1</v>
      </c>
      <c r="AG100" s="15">
        <v>0</v>
      </c>
      <c r="AH100" s="15">
        <v>0</v>
      </c>
      <c r="AI100" s="15">
        <v>0</v>
      </c>
      <c r="AJ100" s="15">
        <v>0</v>
      </c>
      <c r="AK100" s="15">
        <v>0</v>
      </c>
      <c r="AL100" s="15">
        <v>1</v>
      </c>
      <c r="AM100" s="20">
        <v>1</v>
      </c>
      <c r="AN100" s="20">
        <v>0</v>
      </c>
      <c r="AO100" s="20">
        <v>0</v>
      </c>
      <c r="AP100" s="20">
        <v>0</v>
      </c>
      <c r="AQ100" s="20">
        <v>0</v>
      </c>
      <c r="AR100" s="20">
        <v>0</v>
      </c>
      <c r="AS100" s="20">
        <v>0</v>
      </c>
      <c r="AT100" s="20">
        <v>0</v>
      </c>
      <c r="AU100" s="20">
        <v>0</v>
      </c>
      <c r="AV100" s="20">
        <v>0</v>
      </c>
      <c r="AW100" s="20">
        <v>0</v>
      </c>
      <c r="AX100" s="20">
        <v>0</v>
      </c>
    </row>
    <row r="101" spans="1:50" x14ac:dyDescent="0.3">
      <c r="A101" s="11">
        <v>17</v>
      </c>
      <c r="B101" s="11">
        <v>3</v>
      </c>
      <c r="C101" s="15">
        <v>0</v>
      </c>
      <c r="D101" s="15">
        <v>0</v>
      </c>
      <c r="E101" s="15">
        <v>0</v>
      </c>
      <c r="F101" s="15">
        <v>1</v>
      </c>
      <c r="G101" s="15">
        <v>0</v>
      </c>
      <c r="H101" s="15">
        <v>0</v>
      </c>
      <c r="I101" s="15">
        <v>1</v>
      </c>
      <c r="J101" s="15">
        <v>0</v>
      </c>
      <c r="K101" s="15">
        <v>0</v>
      </c>
      <c r="L101" s="15">
        <v>0</v>
      </c>
      <c r="M101" s="15">
        <v>0</v>
      </c>
      <c r="N101" s="15">
        <v>1</v>
      </c>
      <c r="O101" s="20">
        <v>0</v>
      </c>
      <c r="P101" s="20">
        <v>1</v>
      </c>
      <c r="Q101" s="20">
        <v>0</v>
      </c>
      <c r="R101" s="20">
        <v>0</v>
      </c>
      <c r="S101" s="20">
        <v>1</v>
      </c>
      <c r="T101" s="20">
        <v>0</v>
      </c>
      <c r="U101" s="20">
        <v>0</v>
      </c>
      <c r="V101" s="20">
        <v>1</v>
      </c>
      <c r="W101" s="20">
        <v>0</v>
      </c>
      <c r="X101" s="20">
        <v>0</v>
      </c>
      <c r="Y101" s="20">
        <v>0</v>
      </c>
      <c r="Z101" s="20">
        <v>1</v>
      </c>
      <c r="AA101" s="15">
        <v>0</v>
      </c>
      <c r="AB101" s="15">
        <v>0</v>
      </c>
      <c r="AC101" s="15">
        <v>0</v>
      </c>
      <c r="AD101" s="15">
        <v>0</v>
      </c>
      <c r="AE101" s="15">
        <v>0</v>
      </c>
      <c r="AF101" s="15">
        <v>1</v>
      </c>
      <c r="AG101" s="15">
        <v>0</v>
      </c>
      <c r="AH101" s="15">
        <v>0</v>
      </c>
      <c r="AI101" s="15">
        <v>0</v>
      </c>
      <c r="AJ101" s="15">
        <v>0</v>
      </c>
      <c r="AK101" s="15">
        <v>0</v>
      </c>
      <c r="AL101" s="15">
        <v>1</v>
      </c>
      <c r="AM101" s="20">
        <v>1</v>
      </c>
      <c r="AN101" s="20">
        <v>0</v>
      </c>
      <c r="AO101" s="20">
        <v>0</v>
      </c>
      <c r="AP101" s="20">
        <v>0</v>
      </c>
      <c r="AQ101" s="20">
        <v>0</v>
      </c>
      <c r="AR101" s="20">
        <v>0</v>
      </c>
      <c r="AS101" s="20">
        <v>0</v>
      </c>
      <c r="AT101" s="20">
        <v>0</v>
      </c>
      <c r="AU101" s="20">
        <v>0</v>
      </c>
      <c r="AV101" s="20">
        <v>0</v>
      </c>
      <c r="AW101" s="20">
        <v>0</v>
      </c>
      <c r="AX101" s="20">
        <v>0</v>
      </c>
    </row>
    <row r="102" spans="1:50" x14ac:dyDescent="0.3">
      <c r="A102" s="11">
        <v>17</v>
      </c>
      <c r="B102" s="11">
        <v>4</v>
      </c>
      <c r="C102" s="15">
        <v>0</v>
      </c>
      <c r="D102" s="15">
        <v>0</v>
      </c>
      <c r="E102" s="15">
        <v>0</v>
      </c>
      <c r="F102" s="15">
        <v>1</v>
      </c>
      <c r="G102" s="15">
        <v>1</v>
      </c>
      <c r="H102" s="15">
        <v>0</v>
      </c>
      <c r="I102" s="15">
        <v>0</v>
      </c>
      <c r="J102" s="15">
        <v>0</v>
      </c>
      <c r="K102" s="15">
        <v>1</v>
      </c>
      <c r="L102" s="15">
        <v>1</v>
      </c>
      <c r="M102" s="15">
        <v>0</v>
      </c>
      <c r="N102" s="15">
        <v>0</v>
      </c>
      <c r="O102" s="20">
        <v>0</v>
      </c>
      <c r="P102" s="20">
        <v>0</v>
      </c>
      <c r="Q102" s="20">
        <v>1</v>
      </c>
      <c r="R102" s="20">
        <v>0</v>
      </c>
      <c r="S102" s="20">
        <v>0</v>
      </c>
      <c r="T102" s="20">
        <v>1</v>
      </c>
      <c r="U102" s="20">
        <v>0</v>
      </c>
      <c r="V102" s="20">
        <v>0</v>
      </c>
      <c r="W102" s="20">
        <v>1</v>
      </c>
      <c r="X102" s="20">
        <v>0</v>
      </c>
      <c r="Y102" s="20">
        <v>0</v>
      </c>
      <c r="Z102" s="20">
        <v>0</v>
      </c>
      <c r="AA102" s="15">
        <v>0</v>
      </c>
      <c r="AB102" s="15">
        <v>0</v>
      </c>
      <c r="AC102" s="15">
        <v>0</v>
      </c>
      <c r="AD102" s="15">
        <v>0</v>
      </c>
      <c r="AE102" s="15">
        <v>0</v>
      </c>
      <c r="AF102" s="15">
        <v>0</v>
      </c>
      <c r="AG102" s="15">
        <v>0</v>
      </c>
      <c r="AH102" s="15">
        <v>0</v>
      </c>
      <c r="AI102" s="15">
        <v>1</v>
      </c>
      <c r="AJ102" s="15">
        <v>0</v>
      </c>
      <c r="AK102" s="15">
        <v>1</v>
      </c>
      <c r="AL102" s="15">
        <v>0</v>
      </c>
      <c r="AM102" s="20">
        <v>1</v>
      </c>
      <c r="AN102" s="20">
        <v>0</v>
      </c>
      <c r="AO102" s="20">
        <v>0</v>
      </c>
      <c r="AP102" s="20">
        <v>0</v>
      </c>
      <c r="AQ102" s="20">
        <v>0</v>
      </c>
      <c r="AR102" s="20">
        <v>0</v>
      </c>
      <c r="AS102" s="20">
        <v>0</v>
      </c>
      <c r="AT102" s="20">
        <v>0</v>
      </c>
      <c r="AU102" s="20">
        <v>0</v>
      </c>
      <c r="AV102" s="20">
        <v>0</v>
      </c>
      <c r="AW102" s="20">
        <v>0</v>
      </c>
      <c r="AX102" s="20">
        <v>0</v>
      </c>
    </row>
    <row r="103" spans="1:50" x14ac:dyDescent="0.3">
      <c r="A103" s="11">
        <v>17</v>
      </c>
      <c r="B103" s="11">
        <v>5</v>
      </c>
      <c r="C103" s="15">
        <v>0</v>
      </c>
      <c r="D103" s="15">
        <v>0</v>
      </c>
      <c r="E103" s="15">
        <v>0</v>
      </c>
      <c r="F103" s="15">
        <v>1</v>
      </c>
      <c r="G103" s="15">
        <v>0</v>
      </c>
      <c r="H103" s="15">
        <v>1</v>
      </c>
      <c r="I103" s="15">
        <v>0</v>
      </c>
      <c r="J103" s="15">
        <v>1</v>
      </c>
      <c r="K103" s="15">
        <v>0</v>
      </c>
      <c r="L103" s="15">
        <v>0</v>
      </c>
      <c r="M103" s="15">
        <v>1</v>
      </c>
      <c r="N103" s="15">
        <v>0</v>
      </c>
      <c r="O103" s="20">
        <v>0</v>
      </c>
      <c r="P103" s="20">
        <v>0</v>
      </c>
      <c r="Q103" s="20">
        <v>1</v>
      </c>
      <c r="R103" s="20">
        <v>0</v>
      </c>
      <c r="S103" s="20">
        <v>1</v>
      </c>
      <c r="T103" s="20">
        <v>0</v>
      </c>
      <c r="U103" s="20">
        <v>0</v>
      </c>
      <c r="V103" s="20">
        <v>0</v>
      </c>
      <c r="W103" s="20">
        <v>0</v>
      </c>
      <c r="X103" s="20">
        <v>0</v>
      </c>
      <c r="Y103" s="20">
        <v>1</v>
      </c>
      <c r="Z103" s="20">
        <v>0</v>
      </c>
      <c r="AA103" s="15">
        <v>0</v>
      </c>
      <c r="AB103" s="15">
        <v>0</v>
      </c>
      <c r="AC103" s="15">
        <v>0</v>
      </c>
      <c r="AD103" s="15">
        <v>0</v>
      </c>
      <c r="AE103" s="15">
        <v>0</v>
      </c>
      <c r="AF103" s="15">
        <v>0</v>
      </c>
      <c r="AG103" s="15">
        <v>0</v>
      </c>
      <c r="AH103" s="15">
        <v>0</v>
      </c>
      <c r="AI103" s="15">
        <v>1</v>
      </c>
      <c r="AJ103" s="15">
        <v>0</v>
      </c>
      <c r="AK103" s="15">
        <v>1</v>
      </c>
      <c r="AL103" s="15">
        <v>0</v>
      </c>
      <c r="AM103" s="20">
        <v>1</v>
      </c>
      <c r="AN103" s="20">
        <v>0</v>
      </c>
      <c r="AO103" s="20">
        <v>0</v>
      </c>
      <c r="AP103" s="20">
        <v>0</v>
      </c>
      <c r="AQ103" s="20">
        <v>0</v>
      </c>
      <c r="AR103" s="20">
        <v>0</v>
      </c>
      <c r="AS103" s="20">
        <v>0</v>
      </c>
      <c r="AT103" s="20">
        <v>0</v>
      </c>
      <c r="AU103" s="20">
        <v>0</v>
      </c>
      <c r="AV103" s="20">
        <v>0</v>
      </c>
      <c r="AW103" s="20">
        <v>0</v>
      </c>
      <c r="AX103" s="20">
        <v>0</v>
      </c>
    </row>
    <row r="104" spans="1:50" x14ac:dyDescent="0.3">
      <c r="A104" s="11">
        <v>17</v>
      </c>
      <c r="B104" s="11">
        <v>6</v>
      </c>
      <c r="C104" s="15">
        <v>0</v>
      </c>
      <c r="D104" s="15">
        <v>1</v>
      </c>
      <c r="E104" s="15">
        <v>0</v>
      </c>
      <c r="F104" s="15">
        <v>0</v>
      </c>
      <c r="G104" s="15">
        <v>0</v>
      </c>
      <c r="H104" s="15">
        <v>0</v>
      </c>
      <c r="I104" s="15">
        <v>0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  <c r="O104" s="20">
        <v>0</v>
      </c>
      <c r="P104" s="20">
        <v>0</v>
      </c>
      <c r="Q104" s="20">
        <v>1</v>
      </c>
      <c r="R104" s="20">
        <v>0</v>
      </c>
      <c r="S104" s="20">
        <v>0</v>
      </c>
      <c r="T104" s="20">
        <v>0</v>
      </c>
      <c r="U104" s="20">
        <v>0</v>
      </c>
      <c r="V104" s="20">
        <v>1</v>
      </c>
      <c r="W104" s="20">
        <v>0</v>
      </c>
      <c r="X104" s="20">
        <v>1</v>
      </c>
      <c r="Y104" s="20">
        <v>0</v>
      </c>
      <c r="Z104" s="20">
        <v>0</v>
      </c>
      <c r="AA104" s="15">
        <v>0</v>
      </c>
      <c r="AB104" s="15">
        <v>0</v>
      </c>
      <c r="AC104" s="15">
        <v>0</v>
      </c>
      <c r="AD104" s="15">
        <v>1</v>
      </c>
      <c r="AE104" s="15">
        <v>0</v>
      </c>
      <c r="AF104" s="15">
        <v>0</v>
      </c>
      <c r="AG104" s="15">
        <v>1</v>
      </c>
      <c r="AH104" s="15">
        <v>0</v>
      </c>
      <c r="AI104" s="15">
        <v>0</v>
      </c>
      <c r="AJ104" s="15">
        <v>0</v>
      </c>
      <c r="AK104" s="15">
        <v>0</v>
      </c>
      <c r="AL104" s="15">
        <v>1</v>
      </c>
      <c r="AM104" s="20">
        <v>1</v>
      </c>
      <c r="AN104" s="20">
        <v>0</v>
      </c>
      <c r="AO104" s="20">
        <v>0</v>
      </c>
      <c r="AP104" s="20">
        <v>0</v>
      </c>
      <c r="AQ104" s="20">
        <v>0</v>
      </c>
      <c r="AR104" s="20">
        <v>0</v>
      </c>
      <c r="AS104" s="20">
        <v>0</v>
      </c>
      <c r="AT104" s="20">
        <v>0</v>
      </c>
      <c r="AU104" s="20">
        <v>0</v>
      </c>
      <c r="AV104" s="20">
        <v>0</v>
      </c>
      <c r="AW104" s="20">
        <v>0</v>
      </c>
      <c r="AX104" s="20">
        <v>0</v>
      </c>
    </row>
    <row r="105" spans="1:50" x14ac:dyDescent="0.3">
      <c r="A105" s="11">
        <v>18</v>
      </c>
      <c r="B105" s="11">
        <v>1</v>
      </c>
      <c r="C105" s="15">
        <v>0</v>
      </c>
      <c r="D105" s="15">
        <v>1</v>
      </c>
      <c r="E105" s="15">
        <v>0</v>
      </c>
      <c r="F105" s="15">
        <v>0</v>
      </c>
      <c r="G105" s="15">
        <v>1</v>
      </c>
      <c r="H105" s="15">
        <v>0</v>
      </c>
      <c r="I105" s="15">
        <v>0</v>
      </c>
      <c r="J105" s="15">
        <v>1</v>
      </c>
      <c r="K105" s="15">
        <v>0</v>
      </c>
      <c r="L105" s="15">
        <v>0</v>
      </c>
      <c r="M105" s="15">
        <v>0</v>
      </c>
      <c r="N105" s="15">
        <v>1</v>
      </c>
      <c r="O105" s="20">
        <v>0</v>
      </c>
      <c r="P105" s="20">
        <v>1</v>
      </c>
      <c r="Q105" s="20">
        <v>0</v>
      </c>
      <c r="R105" s="20">
        <v>0</v>
      </c>
      <c r="S105" s="20">
        <v>0</v>
      </c>
      <c r="T105" s="20">
        <v>1</v>
      </c>
      <c r="U105" s="20">
        <v>1</v>
      </c>
      <c r="V105" s="20">
        <v>0</v>
      </c>
      <c r="W105" s="20">
        <v>0</v>
      </c>
      <c r="X105" s="20">
        <v>1</v>
      </c>
      <c r="Y105" s="20">
        <v>0</v>
      </c>
      <c r="Z105" s="20">
        <v>0</v>
      </c>
      <c r="AA105" s="15">
        <v>0</v>
      </c>
      <c r="AB105" s="15">
        <v>1</v>
      </c>
      <c r="AC105" s="15">
        <v>0</v>
      </c>
      <c r="AD105" s="15">
        <v>0</v>
      </c>
      <c r="AE105" s="15">
        <v>0</v>
      </c>
      <c r="AF105" s="15">
        <v>0</v>
      </c>
      <c r="AG105" s="15">
        <v>0</v>
      </c>
      <c r="AH105" s="15">
        <v>0</v>
      </c>
      <c r="AI105" s="15">
        <v>0</v>
      </c>
      <c r="AJ105" s="15">
        <v>0</v>
      </c>
      <c r="AK105" s="15">
        <v>0</v>
      </c>
      <c r="AL105" s="15">
        <v>0</v>
      </c>
      <c r="AM105" s="20">
        <v>1</v>
      </c>
      <c r="AN105" s="20">
        <v>0</v>
      </c>
      <c r="AO105" s="20">
        <v>0</v>
      </c>
      <c r="AP105" s="20">
        <v>0</v>
      </c>
      <c r="AQ105" s="20">
        <v>0</v>
      </c>
      <c r="AR105" s="20">
        <v>0</v>
      </c>
      <c r="AS105" s="20">
        <v>0</v>
      </c>
      <c r="AT105" s="20">
        <v>0</v>
      </c>
      <c r="AU105" s="20">
        <v>0</v>
      </c>
      <c r="AV105" s="20">
        <v>0</v>
      </c>
      <c r="AW105" s="20">
        <v>0</v>
      </c>
      <c r="AX105" s="20">
        <v>0</v>
      </c>
    </row>
    <row r="106" spans="1:50" x14ac:dyDescent="0.3">
      <c r="A106" s="11">
        <v>18</v>
      </c>
      <c r="B106" s="11">
        <v>2</v>
      </c>
      <c r="C106" s="15">
        <v>0</v>
      </c>
      <c r="D106" s="15">
        <v>0</v>
      </c>
      <c r="E106" s="15">
        <v>1</v>
      </c>
      <c r="F106" s="15">
        <v>0</v>
      </c>
      <c r="G106" s="15">
        <v>0</v>
      </c>
      <c r="H106" s="15">
        <v>1</v>
      </c>
      <c r="I106" s="15">
        <v>0</v>
      </c>
      <c r="J106" s="15">
        <v>0</v>
      </c>
      <c r="K106" s="15">
        <v>1</v>
      </c>
      <c r="L106" s="15">
        <v>0</v>
      </c>
      <c r="M106" s="15">
        <v>0</v>
      </c>
      <c r="N106" s="15">
        <v>0</v>
      </c>
      <c r="O106" s="20">
        <v>0</v>
      </c>
      <c r="P106" s="20">
        <v>0</v>
      </c>
      <c r="Q106" s="20">
        <v>0</v>
      </c>
      <c r="R106" s="20">
        <v>1</v>
      </c>
      <c r="S106" s="20">
        <v>0</v>
      </c>
      <c r="T106" s="20">
        <v>1</v>
      </c>
      <c r="U106" s="20">
        <v>0</v>
      </c>
      <c r="V106" s="20">
        <v>1</v>
      </c>
      <c r="W106" s="20">
        <v>0</v>
      </c>
      <c r="X106" s="20">
        <v>0</v>
      </c>
      <c r="Y106" s="20">
        <v>1</v>
      </c>
      <c r="Z106" s="20">
        <v>0</v>
      </c>
      <c r="AA106" s="15">
        <v>0</v>
      </c>
      <c r="AB106" s="15">
        <v>0</v>
      </c>
      <c r="AC106" s="15">
        <v>0</v>
      </c>
      <c r="AD106" s="15">
        <v>0</v>
      </c>
      <c r="AE106" s="15">
        <v>0</v>
      </c>
      <c r="AF106" s="15">
        <v>1</v>
      </c>
      <c r="AG106" s="15">
        <v>0</v>
      </c>
      <c r="AH106" s="15">
        <v>0</v>
      </c>
      <c r="AI106" s="15">
        <v>0</v>
      </c>
      <c r="AJ106" s="15">
        <v>0</v>
      </c>
      <c r="AK106" s="15">
        <v>0</v>
      </c>
      <c r="AL106" s="15">
        <v>1</v>
      </c>
      <c r="AM106" s="20">
        <v>1</v>
      </c>
      <c r="AN106" s="20">
        <v>0</v>
      </c>
      <c r="AO106" s="20">
        <v>0</v>
      </c>
      <c r="AP106" s="20">
        <v>0</v>
      </c>
      <c r="AQ106" s="20">
        <v>0</v>
      </c>
      <c r="AR106" s="20">
        <v>0</v>
      </c>
      <c r="AS106" s="20">
        <v>0</v>
      </c>
      <c r="AT106" s="20">
        <v>0</v>
      </c>
      <c r="AU106" s="20">
        <v>0</v>
      </c>
      <c r="AV106" s="20">
        <v>0</v>
      </c>
      <c r="AW106" s="20">
        <v>0</v>
      </c>
      <c r="AX106" s="20">
        <v>0</v>
      </c>
    </row>
    <row r="107" spans="1:50" x14ac:dyDescent="0.3">
      <c r="A107" s="11">
        <v>18</v>
      </c>
      <c r="B107" s="11">
        <v>3</v>
      </c>
      <c r="C107" s="15">
        <v>0</v>
      </c>
      <c r="D107" s="15">
        <v>0</v>
      </c>
      <c r="E107" s="15">
        <v>0</v>
      </c>
      <c r="F107" s="15">
        <v>1</v>
      </c>
      <c r="G107" s="15">
        <v>0</v>
      </c>
      <c r="H107" s="15">
        <v>0</v>
      </c>
      <c r="I107" s="15">
        <v>1</v>
      </c>
      <c r="J107" s="15">
        <v>0</v>
      </c>
      <c r="K107" s="15">
        <v>0</v>
      </c>
      <c r="L107" s="15">
        <v>0</v>
      </c>
      <c r="M107" s="15">
        <v>0</v>
      </c>
      <c r="N107" s="15">
        <v>1</v>
      </c>
      <c r="O107" s="20">
        <v>0</v>
      </c>
      <c r="P107" s="20">
        <v>1</v>
      </c>
      <c r="Q107" s="20">
        <v>0</v>
      </c>
      <c r="R107" s="20">
        <v>0</v>
      </c>
      <c r="S107" s="20">
        <v>1</v>
      </c>
      <c r="T107" s="20">
        <v>0</v>
      </c>
      <c r="U107" s="20">
        <v>0</v>
      </c>
      <c r="V107" s="20">
        <v>1</v>
      </c>
      <c r="W107" s="20">
        <v>0</v>
      </c>
      <c r="X107" s="20">
        <v>0</v>
      </c>
      <c r="Y107" s="20">
        <v>0</v>
      </c>
      <c r="Z107" s="20">
        <v>1</v>
      </c>
      <c r="AA107" s="15">
        <v>0</v>
      </c>
      <c r="AB107" s="15">
        <v>0</v>
      </c>
      <c r="AC107" s="15">
        <v>0</v>
      </c>
      <c r="AD107" s="15">
        <v>0</v>
      </c>
      <c r="AE107" s="15">
        <v>0</v>
      </c>
      <c r="AF107" s="15">
        <v>1</v>
      </c>
      <c r="AG107" s="15">
        <v>0</v>
      </c>
      <c r="AH107" s="15">
        <v>0</v>
      </c>
      <c r="AI107" s="15">
        <v>0</v>
      </c>
      <c r="AJ107" s="15">
        <v>0</v>
      </c>
      <c r="AK107" s="15">
        <v>0</v>
      </c>
      <c r="AL107" s="15">
        <v>1</v>
      </c>
      <c r="AM107" s="20">
        <v>1</v>
      </c>
      <c r="AN107" s="20">
        <v>0</v>
      </c>
      <c r="AO107" s="20">
        <v>0</v>
      </c>
      <c r="AP107" s="20">
        <v>0</v>
      </c>
      <c r="AQ107" s="20">
        <v>0</v>
      </c>
      <c r="AR107" s="20">
        <v>0</v>
      </c>
      <c r="AS107" s="20">
        <v>0</v>
      </c>
      <c r="AT107" s="20">
        <v>0</v>
      </c>
      <c r="AU107" s="20">
        <v>0</v>
      </c>
      <c r="AV107" s="20">
        <v>0</v>
      </c>
      <c r="AW107" s="20">
        <v>0</v>
      </c>
      <c r="AX107" s="20">
        <v>0</v>
      </c>
    </row>
    <row r="108" spans="1:50" x14ac:dyDescent="0.3">
      <c r="A108" s="11">
        <v>18</v>
      </c>
      <c r="B108" s="11">
        <v>4</v>
      </c>
      <c r="C108" s="15">
        <v>0</v>
      </c>
      <c r="D108" s="15">
        <v>0</v>
      </c>
      <c r="E108" s="15">
        <v>0</v>
      </c>
      <c r="F108" s="15">
        <v>1</v>
      </c>
      <c r="G108" s="15">
        <v>1</v>
      </c>
      <c r="H108" s="15">
        <v>0</v>
      </c>
      <c r="I108" s="15">
        <v>0</v>
      </c>
      <c r="J108" s="15">
        <v>0</v>
      </c>
      <c r="K108" s="15">
        <v>1</v>
      </c>
      <c r="L108" s="15">
        <v>1</v>
      </c>
      <c r="M108" s="15">
        <v>0</v>
      </c>
      <c r="N108" s="15">
        <v>0</v>
      </c>
      <c r="O108" s="20">
        <v>0</v>
      </c>
      <c r="P108" s="20">
        <v>0</v>
      </c>
      <c r="Q108" s="20">
        <v>1</v>
      </c>
      <c r="R108" s="20">
        <v>0</v>
      </c>
      <c r="S108" s="20">
        <v>0</v>
      </c>
      <c r="T108" s="20">
        <v>1</v>
      </c>
      <c r="U108" s="20">
        <v>0</v>
      </c>
      <c r="V108" s="20">
        <v>0</v>
      </c>
      <c r="W108" s="20">
        <v>1</v>
      </c>
      <c r="X108" s="20">
        <v>0</v>
      </c>
      <c r="Y108" s="20">
        <v>0</v>
      </c>
      <c r="Z108" s="20">
        <v>0</v>
      </c>
      <c r="AA108" s="15">
        <v>0</v>
      </c>
      <c r="AB108" s="15">
        <v>0</v>
      </c>
      <c r="AC108" s="15">
        <v>0</v>
      </c>
      <c r="AD108" s="15">
        <v>0</v>
      </c>
      <c r="AE108" s="15">
        <v>0</v>
      </c>
      <c r="AF108" s="15">
        <v>0</v>
      </c>
      <c r="AG108" s="15">
        <v>0</v>
      </c>
      <c r="AH108" s="15">
        <v>0</v>
      </c>
      <c r="AI108" s="15">
        <v>1</v>
      </c>
      <c r="AJ108" s="15">
        <v>0</v>
      </c>
      <c r="AK108" s="15">
        <v>1</v>
      </c>
      <c r="AL108" s="15">
        <v>0</v>
      </c>
      <c r="AM108" s="20">
        <v>1</v>
      </c>
      <c r="AN108" s="20">
        <v>0</v>
      </c>
      <c r="AO108" s="20">
        <v>0</v>
      </c>
      <c r="AP108" s="20">
        <v>0</v>
      </c>
      <c r="AQ108" s="20">
        <v>0</v>
      </c>
      <c r="AR108" s="20">
        <v>0</v>
      </c>
      <c r="AS108" s="20">
        <v>0</v>
      </c>
      <c r="AT108" s="20">
        <v>0</v>
      </c>
      <c r="AU108" s="20">
        <v>0</v>
      </c>
      <c r="AV108" s="20">
        <v>0</v>
      </c>
      <c r="AW108" s="20">
        <v>0</v>
      </c>
      <c r="AX108" s="20">
        <v>0</v>
      </c>
    </row>
    <row r="109" spans="1:50" x14ac:dyDescent="0.3">
      <c r="A109" s="11">
        <v>18</v>
      </c>
      <c r="B109" s="11">
        <v>5</v>
      </c>
      <c r="C109" s="15">
        <v>0</v>
      </c>
      <c r="D109" s="15">
        <v>0</v>
      </c>
      <c r="E109" s="15">
        <v>0</v>
      </c>
      <c r="F109" s="15">
        <v>1</v>
      </c>
      <c r="G109" s="15">
        <v>0</v>
      </c>
      <c r="H109" s="15">
        <v>1</v>
      </c>
      <c r="I109" s="15">
        <v>0</v>
      </c>
      <c r="J109" s="15">
        <v>1</v>
      </c>
      <c r="K109" s="15">
        <v>0</v>
      </c>
      <c r="L109" s="15">
        <v>0</v>
      </c>
      <c r="M109" s="15">
        <v>1</v>
      </c>
      <c r="N109" s="15">
        <v>0</v>
      </c>
      <c r="O109" s="20">
        <v>0</v>
      </c>
      <c r="P109" s="20">
        <v>0</v>
      </c>
      <c r="Q109" s="20">
        <v>1</v>
      </c>
      <c r="R109" s="20">
        <v>0</v>
      </c>
      <c r="S109" s="20">
        <v>1</v>
      </c>
      <c r="T109" s="20">
        <v>0</v>
      </c>
      <c r="U109" s="20">
        <v>0</v>
      </c>
      <c r="V109" s="20">
        <v>0</v>
      </c>
      <c r="W109" s="20">
        <v>0</v>
      </c>
      <c r="X109" s="20">
        <v>0</v>
      </c>
      <c r="Y109" s="20">
        <v>1</v>
      </c>
      <c r="Z109" s="20">
        <v>0</v>
      </c>
      <c r="AA109" s="15">
        <v>0</v>
      </c>
      <c r="AB109" s="15">
        <v>0</v>
      </c>
      <c r="AC109" s="15">
        <v>0</v>
      </c>
      <c r="AD109" s="15">
        <v>0</v>
      </c>
      <c r="AE109" s="15">
        <v>0</v>
      </c>
      <c r="AF109" s="15">
        <v>0</v>
      </c>
      <c r="AG109" s="15">
        <v>0</v>
      </c>
      <c r="AH109" s="15">
        <v>0</v>
      </c>
      <c r="AI109" s="15">
        <v>1</v>
      </c>
      <c r="AJ109" s="15">
        <v>0</v>
      </c>
      <c r="AK109" s="15">
        <v>1</v>
      </c>
      <c r="AL109" s="15">
        <v>0</v>
      </c>
      <c r="AM109" s="20">
        <v>1</v>
      </c>
      <c r="AN109" s="20">
        <v>0</v>
      </c>
      <c r="AO109" s="20">
        <v>0</v>
      </c>
      <c r="AP109" s="20">
        <v>0</v>
      </c>
      <c r="AQ109" s="20">
        <v>0</v>
      </c>
      <c r="AR109" s="20">
        <v>0</v>
      </c>
      <c r="AS109" s="20">
        <v>0</v>
      </c>
      <c r="AT109" s="20">
        <v>0</v>
      </c>
      <c r="AU109" s="20">
        <v>0</v>
      </c>
      <c r="AV109" s="20">
        <v>0</v>
      </c>
      <c r="AW109" s="20">
        <v>0</v>
      </c>
      <c r="AX109" s="20">
        <v>0</v>
      </c>
    </row>
    <row r="110" spans="1:50" x14ac:dyDescent="0.3">
      <c r="A110" s="11">
        <v>18</v>
      </c>
      <c r="B110" s="11">
        <v>6</v>
      </c>
      <c r="C110" s="15">
        <v>0</v>
      </c>
      <c r="D110" s="15">
        <v>1</v>
      </c>
      <c r="E110" s="15">
        <v>0</v>
      </c>
      <c r="F110" s="15">
        <v>0</v>
      </c>
      <c r="G110" s="15">
        <v>0</v>
      </c>
      <c r="H110" s="15">
        <v>0</v>
      </c>
      <c r="I110" s="15">
        <v>0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  <c r="O110" s="20">
        <v>0</v>
      </c>
      <c r="P110" s="20">
        <v>0</v>
      </c>
      <c r="Q110" s="20">
        <v>1</v>
      </c>
      <c r="R110" s="20">
        <v>0</v>
      </c>
      <c r="S110" s="20">
        <v>0</v>
      </c>
      <c r="T110" s="20">
        <v>0</v>
      </c>
      <c r="U110" s="20">
        <v>0</v>
      </c>
      <c r="V110" s="20">
        <v>1</v>
      </c>
      <c r="W110" s="20">
        <v>0</v>
      </c>
      <c r="X110" s="20">
        <v>1</v>
      </c>
      <c r="Y110" s="20">
        <v>0</v>
      </c>
      <c r="Z110" s="20">
        <v>0</v>
      </c>
      <c r="AA110" s="15">
        <v>0</v>
      </c>
      <c r="AB110" s="15">
        <v>0</v>
      </c>
      <c r="AC110" s="15">
        <v>0</v>
      </c>
      <c r="AD110" s="15">
        <v>1</v>
      </c>
      <c r="AE110" s="15">
        <v>0</v>
      </c>
      <c r="AF110" s="15">
        <v>0</v>
      </c>
      <c r="AG110" s="15">
        <v>1</v>
      </c>
      <c r="AH110" s="15">
        <v>0</v>
      </c>
      <c r="AI110" s="15">
        <v>0</v>
      </c>
      <c r="AJ110" s="15">
        <v>0</v>
      </c>
      <c r="AK110" s="15">
        <v>0</v>
      </c>
      <c r="AL110" s="15">
        <v>1</v>
      </c>
      <c r="AM110" s="20">
        <v>1</v>
      </c>
      <c r="AN110" s="20">
        <v>0</v>
      </c>
      <c r="AO110" s="20">
        <v>0</v>
      </c>
      <c r="AP110" s="20">
        <v>0</v>
      </c>
      <c r="AQ110" s="20">
        <v>0</v>
      </c>
      <c r="AR110" s="20">
        <v>0</v>
      </c>
      <c r="AS110" s="20">
        <v>0</v>
      </c>
      <c r="AT110" s="20">
        <v>0</v>
      </c>
      <c r="AU110" s="20">
        <v>0</v>
      </c>
      <c r="AV110" s="20">
        <v>0</v>
      </c>
      <c r="AW110" s="20">
        <v>0</v>
      </c>
      <c r="AX110" s="20">
        <v>0</v>
      </c>
    </row>
    <row r="111" spans="1:50" x14ac:dyDescent="0.3">
      <c r="A111" s="11">
        <v>19</v>
      </c>
      <c r="B111" s="11">
        <v>1</v>
      </c>
      <c r="C111" s="15">
        <v>0</v>
      </c>
      <c r="D111" s="15">
        <v>1</v>
      </c>
      <c r="E111" s="15">
        <v>0</v>
      </c>
      <c r="F111" s="15">
        <v>0</v>
      </c>
      <c r="G111" s="15">
        <v>1</v>
      </c>
      <c r="H111" s="15">
        <v>0</v>
      </c>
      <c r="I111" s="15">
        <v>0</v>
      </c>
      <c r="J111" s="15">
        <v>1</v>
      </c>
      <c r="K111" s="15">
        <v>0</v>
      </c>
      <c r="L111" s="15">
        <v>0</v>
      </c>
      <c r="M111" s="15">
        <v>0</v>
      </c>
      <c r="N111" s="15">
        <v>1</v>
      </c>
      <c r="O111" s="20">
        <v>0</v>
      </c>
      <c r="P111" s="20">
        <v>1</v>
      </c>
      <c r="Q111" s="20">
        <v>0</v>
      </c>
      <c r="R111" s="20">
        <v>0</v>
      </c>
      <c r="S111" s="20">
        <v>0</v>
      </c>
      <c r="T111" s="20">
        <v>1</v>
      </c>
      <c r="U111" s="20">
        <v>1</v>
      </c>
      <c r="V111" s="20">
        <v>0</v>
      </c>
      <c r="W111" s="20">
        <v>0</v>
      </c>
      <c r="X111" s="20">
        <v>1</v>
      </c>
      <c r="Y111" s="20">
        <v>0</v>
      </c>
      <c r="Z111" s="20">
        <v>0</v>
      </c>
      <c r="AA111" s="15">
        <v>0</v>
      </c>
      <c r="AB111" s="15">
        <v>1</v>
      </c>
      <c r="AC111" s="15">
        <v>0</v>
      </c>
      <c r="AD111" s="15">
        <v>0</v>
      </c>
      <c r="AE111" s="15">
        <v>0</v>
      </c>
      <c r="AF111" s="15">
        <v>0</v>
      </c>
      <c r="AG111" s="15">
        <v>0</v>
      </c>
      <c r="AH111" s="15">
        <v>0</v>
      </c>
      <c r="AI111" s="15">
        <v>0</v>
      </c>
      <c r="AJ111" s="15">
        <v>0</v>
      </c>
      <c r="AK111" s="15">
        <v>0</v>
      </c>
      <c r="AL111" s="15">
        <v>0</v>
      </c>
      <c r="AM111" s="20">
        <v>1</v>
      </c>
      <c r="AN111" s="20">
        <v>0</v>
      </c>
      <c r="AO111" s="20">
        <v>0</v>
      </c>
      <c r="AP111" s="20">
        <v>0</v>
      </c>
      <c r="AQ111" s="20">
        <v>0</v>
      </c>
      <c r="AR111" s="20">
        <v>0</v>
      </c>
      <c r="AS111" s="20">
        <v>0</v>
      </c>
      <c r="AT111" s="20">
        <v>0</v>
      </c>
      <c r="AU111" s="20">
        <v>0</v>
      </c>
      <c r="AV111" s="20">
        <v>0</v>
      </c>
      <c r="AW111" s="20">
        <v>0</v>
      </c>
      <c r="AX111" s="20">
        <v>0</v>
      </c>
    </row>
    <row r="112" spans="1:50" x14ac:dyDescent="0.3">
      <c r="A112" s="11">
        <v>19</v>
      </c>
      <c r="B112" s="11">
        <v>2</v>
      </c>
      <c r="C112" s="15">
        <v>0</v>
      </c>
      <c r="D112" s="15">
        <v>0</v>
      </c>
      <c r="E112" s="15">
        <v>1</v>
      </c>
      <c r="F112" s="15">
        <v>0</v>
      </c>
      <c r="G112" s="15">
        <v>0</v>
      </c>
      <c r="H112" s="15">
        <v>1</v>
      </c>
      <c r="I112" s="15">
        <v>0</v>
      </c>
      <c r="J112" s="15">
        <v>0</v>
      </c>
      <c r="K112" s="15">
        <v>1</v>
      </c>
      <c r="L112" s="15">
        <v>0</v>
      </c>
      <c r="M112" s="15">
        <v>0</v>
      </c>
      <c r="N112" s="15">
        <v>0</v>
      </c>
      <c r="O112" s="20">
        <v>0</v>
      </c>
      <c r="P112" s="20">
        <v>0</v>
      </c>
      <c r="Q112" s="20">
        <v>0</v>
      </c>
      <c r="R112" s="20">
        <v>1</v>
      </c>
      <c r="S112" s="20">
        <v>0</v>
      </c>
      <c r="T112" s="20">
        <v>1</v>
      </c>
      <c r="U112" s="20">
        <v>0</v>
      </c>
      <c r="V112" s="20">
        <v>1</v>
      </c>
      <c r="W112" s="20">
        <v>0</v>
      </c>
      <c r="X112" s="20">
        <v>0</v>
      </c>
      <c r="Y112" s="20">
        <v>1</v>
      </c>
      <c r="Z112" s="20">
        <v>0</v>
      </c>
      <c r="AA112" s="15">
        <v>0</v>
      </c>
      <c r="AB112" s="15">
        <v>0</v>
      </c>
      <c r="AC112" s="15">
        <v>0</v>
      </c>
      <c r="AD112" s="15">
        <v>0</v>
      </c>
      <c r="AE112" s="15">
        <v>0</v>
      </c>
      <c r="AF112" s="15">
        <v>1</v>
      </c>
      <c r="AG112" s="15">
        <v>0</v>
      </c>
      <c r="AH112" s="15">
        <v>0</v>
      </c>
      <c r="AI112" s="15">
        <v>0</v>
      </c>
      <c r="AJ112" s="15">
        <v>0</v>
      </c>
      <c r="AK112" s="15">
        <v>0</v>
      </c>
      <c r="AL112" s="15">
        <v>1</v>
      </c>
      <c r="AM112" s="20">
        <v>1</v>
      </c>
      <c r="AN112" s="20">
        <v>0</v>
      </c>
      <c r="AO112" s="20">
        <v>0</v>
      </c>
      <c r="AP112" s="20">
        <v>0</v>
      </c>
      <c r="AQ112" s="20">
        <v>0</v>
      </c>
      <c r="AR112" s="20">
        <v>0</v>
      </c>
      <c r="AS112" s="20">
        <v>0</v>
      </c>
      <c r="AT112" s="20">
        <v>0</v>
      </c>
      <c r="AU112" s="20">
        <v>0</v>
      </c>
      <c r="AV112" s="20">
        <v>0</v>
      </c>
      <c r="AW112" s="20">
        <v>0</v>
      </c>
      <c r="AX112" s="20">
        <v>0</v>
      </c>
    </row>
    <row r="113" spans="1:50" x14ac:dyDescent="0.3">
      <c r="A113" s="11">
        <v>19</v>
      </c>
      <c r="B113" s="11">
        <v>3</v>
      </c>
      <c r="C113" s="15">
        <v>0</v>
      </c>
      <c r="D113" s="15">
        <v>0</v>
      </c>
      <c r="E113" s="15">
        <v>0</v>
      </c>
      <c r="F113" s="15">
        <v>1</v>
      </c>
      <c r="G113" s="15">
        <v>0</v>
      </c>
      <c r="H113" s="15">
        <v>0</v>
      </c>
      <c r="I113" s="15">
        <v>1</v>
      </c>
      <c r="J113" s="15">
        <v>0</v>
      </c>
      <c r="K113" s="15">
        <v>0</v>
      </c>
      <c r="L113" s="15">
        <v>0</v>
      </c>
      <c r="M113" s="15">
        <v>0</v>
      </c>
      <c r="N113" s="15">
        <v>1</v>
      </c>
      <c r="O113" s="20">
        <v>0</v>
      </c>
      <c r="P113" s="20">
        <v>1</v>
      </c>
      <c r="Q113" s="20">
        <v>0</v>
      </c>
      <c r="R113" s="20">
        <v>0</v>
      </c>
      <c r="S113" s="20">
        <v>1</v>
      </c>
      <c r="T113" s="20">
        <v>0</v>
      </c>
      <c r="U113" s="20">
        <v>0</v>
      </c>
      <c r="V113" s="20">
        <v>1</v>
      </c>
      <c r="W113" s="20">
        <v>0</v>
      </c>
      <c r="X113" s="20">
        <v>0</v>
      </c>
      <c r="Y113" s="20">
        <v>0</v>
      </c>
      <c r="Z113" s="20">
        <v>1</v>
      </c>
      <c r="AA113" s="15">
        <v>0</v>
      </c>
      <c r="AB113" s="15">
        <v>0</v>
      </c>
      <c r="AC113" s="15">
        <v>0</v>
      </c>
      <c r="AD113" s="15">
        <v>0</v>
      </c>
      <c r="AE113" s="15">
        <v>0</v>
      </c>
      <c r="AF113" s="15">
        <v>1</v>
      </c>
      <c r="AG113" s="15">
        <v>0</v>
      </c>
      <c r="AH113" s="15">
        <v>0</v>
      </c>
      <c r="AI113" s="15">
        <v>0</v>
      </c>
      <c r="AJ113" s="15">
        <v>0</v>
      </c>
      <c r="AK113" s="15">
        <v>0</v>
      </c>
      <c r="AL113" s="15">
        <v>1</v>
      </c>
      <c r="AM113" s="20">
        <v>1</v>
      </c>
      <c r="AN113" s="20">
        <v>0</v>
      </c>
      <c r="AO113" s="20">
        <v>0</v>
      </c>
      <c r="AP113" s="20">
        <v>0</v>
      </c>
      <c r="AQ113" s="20">
        <v>0</v>
      </c>
      <c r="AR113" s="20">
        <v>0</v>
      </c>
      <c r="AS113" s="20">
        <v>0</v>
      </c>
      <c r="AT113" s="20">
        <v>0</v>
      </c>
      <c r="AU113" s="20">
        <v>0</v>
      </c>
      <c r="AV113" s="20">
        <v>0</v>
      </c>
      <c r="AW113" s="20">
        <v>0</v>
      </c>
      <c r="AX113" s="20">
        <v>0</v>
      </c>
    </row>
    <row r="114" spans="1:50" x14ac:dyDescent="0.3">
      <c r="A114" s="11">
        <v>19</v>
      </c>
      <c r="B114" s="11">
        <v>4</v>
      </c>
      <c r="C114" s="15">
        <v>0</v>
      </c>
      <c r="D114" s="15">
        <v>0</v>
      </c>
      <c r="E114" s="15">
        <v>0</v>
      </c>
      <c r="F114" s="15">
        <v>1</v>
      </c>
      <c r="G114" s="15">
        <v>1</v>
      </c>
      <c r="H114" s="15">
        <v>0</v>
      </c>
      <c r="I114" s="15">
        <v>0</v>
      </c>
      <c r="J114" s="15">
        <v>0</v>
      </c>
      <c r="K114" s="15">
        <v>1</v>
      </c>
      <c r="L114" s="15">
        <v>1</v>
      </c>
      <c r="M114" s="15">
        <v>0</v>
      </c>
      <c r="N114" s="15">
        <v>0</v>
      </c>
      <c r="O114" s="20">
        <v>0</v>
      </c>
      <c r="P114" s="20">
        <v>0</v>
      </c>
      <c r="Q114" s="20">
        <v>1</v>
      </c>
      <c r="R114" s="20">
        <v>0</v>
      </c>
      <c r="S114" s="20">
        <v>0</v>
      </c>
      <c r="T114" s="20">
        <v>1</v>
      </c>
      <c r="U114" s="20">
        <v>0</v>
      </c>
      <c r="V114" s="20">
        <v>0</v>
      </c>
      <c r="W114" s="20">
        <v>1</v>
      </c>
      <c r="X114" s="20">
        <v>0</v>
      </c>
      <c r="Y114" s="20">
        <v>0</v>
      </c>
      <c r="Z114" s="20">
        <v>0</v>
      </c>
      <c r="AA114" s="15">
        <v>0</v>
      </c>
      <c r="AB114" s="15">
        <v>0</v>
      </c>
      <c r="AC114" s="15">
        <v>0</v>
      </c>
      <c r="AD114" s="15">
        <v>0</v>
      </c>
      <c r="AE114" s="15">
        <v>0</v>
      </c>
      <c r="AF114" s="15">
        <v>0</v>
      </c>
      <c r="AG114" s="15">
        <v>0</v>
      </c>
      <c r="AH114" s="15">
        <v>0</v>
      </c>
      <c r="AI114" s="15">
        <v>1</v>
      </c>
      <c r="AJ114" s="15">
        <v>0</v>
      </c>
      <c r="AK114" s="15">
        <v>1</v>
      </c>
      <c r="AL114" s="15">
        <v>0</v>
      </c>
      <c r="AM114" s="20">
        <v>1</v>
      </c>
      <c r="AN114" s="20">
        <v>0</v>
      </c>
      <c r="AO114" s="20">
        <v>0</v>
      </c>
      <c r="AP114" s="20">
        <v>0</v>
      </c>
      <c r="AQ114" s="20">
        <v>0</v>
      </c>
      <c r="AR114" s="20">
        <v>0</v>
      </c>
      <c r="AS114" s="20">
        <v>0</v>
      </c>
      <c r="AT114" s="20">
        <v>0</v>
      </c>
      <c r="AU114" s="20">
        <v>0</v>
      </c>
      <c r="AV114" s="20">
        <v>0</v>
      </c>
      <c r="AW114" s="20">
        <v>0</v>
      </c>
      <c r="AX114" s="20">
        <v>0</v>
      </c>
    </row>
    <row r="115" spans="1:50" x14ac:dyDescent="0.3">
      <c r="A115" s="11">
        <v>19</v>
      </c>
      <c r="B115" s="11">
        <v>5</v>
      </c>
      <c r="C115" s="15">
        <v>0</v>
      </c>
      <c r="D115" s="15">
        <v>0</v>
      </c>
      <c r="E115" s="15">
        <v>0</v>
      </c>
      <c r="F115" s="15">
        <v>1</v>
      </c>
      <c r="G115" s="15">
        <v>0</v>
      </c>
      <c r="H115" s="15">
        <v>1</v>
      </c>
      <c r="I115" s="15">
        <v>0</v>
      </c>
      <c r="J115" s="15">
        <v>1</v>
      </c>
      <c r="K115" s="15">
        <v>0</v>
      </c>
      <c r="L115" s="15">
        <v>0</v>
      </c>
      <c r="M115" s="15">
        <v>1</v>
      </c>
      <c r="N115" s="15">
        <v>0</v>
      </c>
      <c r="O115" s="20">
        <v>0</v>
      </c>
      <c r="P115" s="20">
        <v>0</v>
      </c>
      <c r="Q115" s="20">
        <v>1</v>
      </c>
      <c r="R115" s="20">
        <v>0</v>
      </c>
      <c r="S115" s="20">
        <v>1</v>
      </c>
      <c r="T115" s="20">
        <v>0</v>
      </c>
      <c r="U115" s="20">
        <v>0</v>
      </c>
      <c r="V115" s="20">
        <v>0</v>
      </c>
      <c r="W115" s="20">
        <v>0</v>
      </c>
      <c r="X115" s="20">
        <v>0</v>
      </c>
      <c r="Y115" s="20">
        <v>1</v>
      </c>
      <c r="Z115" s="20">
        <v>0</v>
      </c>
      <c r="AA115" s="15">
        <v>0</v>
      </c>
      <c r="AB115" s="15">
        <v>0</v>
      </c>
      <c r="AC115" s="15">
        <v>0</v>
      </c>
      <c r="AD115" s="15">
        <v>0</v>
      </c>
      <c r="AE115" s="15">
        <v>0</v>
      </c>
      <c r="AF115" s="15">
        <v>0</v>
      </c>
      <c r="AG115" s="15">
        <v>0</v>
      </c>
      <c r="AH115" s="15">
        <v>0</v>
      </c>
      <c r="AI115" s="15">
        <v>1</v>
      </c>
      <c r="AJ115" s="15">
        <v>0</v>
      </c>
      <c r="AK115" s="15">
        <v>1</v>
      </c>
      <c r="AL115" s="15">
        <v>0</v>
      </c>
      <c r="AM115" s="20">
        <v>1</v>
      </c>
      <c r="AN115" s="20">
        <v>0</v>
      </c>
      <c r="AO115" s="20">
        <v>0</v>
      </c>
      <c r="AP115" s="20">
        <v>0</v>
      </c>
      <c r="AQ115" s="20">
        <v>0</v>
      </c>
      <c r="AR115" s="20">
        <v>0</v>
      </c>
      <c r="AS115" s="20">
        <v>0</v>
      </c>
      <c r="AT115" s="20">
        <v>0</v>
      </c>
      <c r="AU115" s="20">
        <v>0</v>
      </c>
      <c r="AV115" s="20">
        <v>0</v>
      </c>
      <c r="AW115" s="20">
        <v>0</v>
      </c>
      <c r="AX115" s="20">
        <v>0</v>
      </c>
    </row>
    <row r="116" spans="1:50" x14ac:dyDescent="0.3">
      <c r="A116" s="11">
        <v>19</v>
      </c>
      <c r="B116" s="11">
        <v>6</v>
      </c>
      <c r="C116" s="15">
        <v>0</v>
      </c>
      <c r="D116" s="15">
        <v>1</v>
      </c>
      <c r="E116" s="15">
        <v>0</v>
      </c>
      <c r="F116" s="15">
        <v>0</v>
      </c>
      <c r="G116" s="15">
        <v>0</v>
      </c>
      <c r="H116" s="15">
        <v>0</v>
      </c>
      <c r="I116" s="15">
        <v>0</v>
      </c>
      <c r="J116" s="15">
        <v>0</v>
      </c>
      <c r="K116" s="15">
        <v>0</v>
      </c>
      <c r="L116" s="15">
        <v>0</v>
      </c>
      <c r="M116" s="15">
        <v>0</v>
      </c>
      <c r="N116" s="15">
        <v>0</v>
      </c>
      <c r="O116" s="20">
        <v>0</v>
      </c>
      <c r="P116" s="20">
        <v>0</v>
      </c>
      <c r="Q116" s="20">
        <v>1</v>
      </c>
      <c r="R116" s="20">
        <v>0</v>
      </c>
      <c r="S116" s="20">
        <v>0</v>
      </c>
      <c r="T116" s="20">
        <v>0</v>
      </c>
      <c r="U116" s="20">
        <v>0</v>
      </c>
      <c r="V116" s="20">
        <v>1</v>
      </c>
      <c r="W116" s="20">
        <v>0</v>
      </c>
      <c r="X116" s="20">
        <v>1</v>
      </c>
      <c r="Y116" s="20">
        <v>0</v>
      </c>
      <c r="Z116" s="20">
        <v>0</v>
      </c>
      <c r="AA116" s="15">
        <v>0</v>
      </c>
      <c r="AB116" s="15">
        <v>0</v>
      </c>
      <c r="AC116" s="15">
        <v>0</v>
      </c>
      <c r="AD116" s="15">
        <v>1</v>
      </c>
      <c r="AE116" s="15">
        <v>0</v>
      </c>
      <c r="AF116" s="15">
        <v>0</v>
      </c>
      <c r="AG116" s="15">
        <v>1</v>
      </c>
      <c r="AH116" s="15">
        <v>0</v>
      </c>
      <c r="AI116" s="15">
        <v>0</v>
      </c>
      <c r="AJ116" s="15">
        <v>0</v>
      </c>
      <c r="AK116" s="15">
        <v>0</v>
      </c>
      <c r="AL116" s="15">
        <v>1</v>
      </c>
      <c r="AM116" s="20">
        <v>1</v>
      </c>
      <c r="AN116" s="20">
        <v>0</v>
      </c>
      <c r="AO116" s="20">
        <v>0</v>
      </c>
      <c r="AP116" s="20">
        <v>0</v>
      </c>
      <c r="AQ116" s="20">
        <v>0</v>
      </c>
      <c r="AR116" s="20">
        <v>0</v>
      </c>
      <c r="AS116" s="20">
        <v>0</v>
      </c>
      <c r="AT116" s="20">
        <v>0</v>
      </c>
      <c r="AU116" s="20">
        <v>0</v>
      </c>
      <c r="AV116" s="20">
        <v>0</v>
      </c>
      <c r="AW116" s="20">
        <v>0</v>
      </c>
      <c r="AX116" s="20">
        <v>0</v>
      </c>
    </row>
    <row r="117" spans="1:50" x14ac:dyDescent="0.3">
      <c r="A117" s="11">
        <v>20</v>
      </c>
      <c r="B117" s="11">
        <v>1</v>
      </c>
      <c r="C117" s="15">
        <v>0</v>
      </c>
      <c r="D117" s="15">
        <v>1</v>
      </c>
      <c r="E117" s="15">
        <v>0</v>
      </c>
      <c r="F117" s="15">
        <v>0</v>
      </c>
      <c r="G117" s="15">
        <v>1</v>
      </c>
      <c r="H117" s="15">
        <v>0</v>
      </c>
      <c r="I117" s="15">
        <v>0</v>
      </c>
      <c r="J117" s="15">
        <v>1</v>
      </c>
      <c r="K117" s="15">
        <v>0</v>
      </c>
      <c r="L117" s="15">
        <v>0</v>
      </c>
      <c r="M117" s="15">
        <v>0</v>
      </c>
      <c r="N117" s="15">
        <v>1</v>
      </c>
      <c r="O117" s="20">
        <v>0</v>
      </c>
      <c r="P117" s="20">
        <v>1</v>
      </c>
      <c r="Q117" s="20">
        <v>0</v>
      </c>
      <c r="R117" s="20">
        <v>0</v>
      </c>
      <c r="S117" s="20">
        <v>0</v>
      </c>
      <c r="T117" s="20">
        <v>1</v>
      </c>
      <c r="U117" s="20">
        <v>1</v>
      </c>
      <c r="V117" s="20">
        <v>0</v>
      </c>
      <c r="W117" s="20">
        <v>0</v>
      </c>
      <c r="X117" s="20">
        <v>1</v>
      </c>
      <c r="Y117" s="20">
        <v>0</v>
      </c>
      <c r="Z117" s="20">
        <v>0</v>
      </c>
      <c r="AA117" s="15">
        <v>0</v>
      </c>
      <c r="AB117" s="15">
        <v>1</v>
      </c>
      <c r="AC117" s="15">
        <v>0</v>
      </c>
      <c r="AD117" s="15">
        <v>0</v>
      </c>
      <c r="AE117" s="15">
        <v>0</v>
      </c>
      <c r="AF117" s="15">
        <v>0</v>
      </c>
      <c r="AG117" s="15">
        <v>0</v>
      </c>
      <c r="AH117" s="15">
        <v>0</v>
      </c>
      <c r="AI117" s="15">
        <v>0</v>
      </c>
      <c r="AJ117" s="15">
        <v>0</v>
      </c>
      <c r="AK117" s="15">
        <v>0</v>
      </c>
      <c r="AL117" s="15">
        <v>0</v>
      </c>
      <c r="AM117" s="20">
        <v>1</v>
      </c>
      <c r="AN117" s="20">
        <v>0</v>
      </c>
      <c r="AO117" s="20">
        <v>0</v>
      </c>
      <c r="AP117" s="20">
        <v>0</v>
      </c>
      <c r="AQ117" s="20">
        <v>0</v>
      </c>
      <c r="AR117" s="20">
        <v>0</v>
      </c>
      <c r="AS117" s="20">
        <v>0</v>
      </c>
      <c r="AT117" s="20">
        <v>0</v>
      </c>
      <c r="AU117" s="20">
        <v>0</v>
      </c>
      <c r="AV117" s="20">
        <v>0</v>
      </c>
      <c r="AW117" s="20">
        <v>0</v>
      </c>
      <c r="AX117" s="20">
        <v>0</v>
      </c>
    </row>
    <row r="118" spans="1:50" x14ac:dyDescent="0.3">
      <c r="A118" s="11">
        <v>20</v>
      </c>
      <c r="B118" s="11">
        <v>2</v>
      </c>
      <c r="C118" s="15">
        <v>0</v>
      </c>
      <c r="D118" s="15">
        <v>0</v>
      </c>
      <c r="E118" s="15">
        <v>1</v>
      </c>
      <c r="F118" s="15">
        <v>0</v>
      </c>
      <c r="G118" s="15">
        <v>0</v>
      </c>
      <c r="H118" s="15">
        <v>1</v>
      </c>
      <c r="I118" s="15">
        <v>0</v>
      </c>
      <c r="J118" s="15">
        <v>0</v>
      </c>
      <c r="K118" s="15">
        <v>1</v>
      </c>
      <c r="L118" s="15">
        <v>0</v>
      </c>
      <c r="M118" s="15">
        <v>0</v>
      </c>
      <c r="N118" s="15">
        <v>0</v>
      </c>
      <c r="O118" s="20">
        <v>0</v>
      </c>
      <c r="P118" s="20">
        <v>0</v>
      </c>
      <c r="Q118" s="20">
        <v>0</v>
      </c>
      <c r="R118" s="20">
        <v>1</v>
      </c>
      <c r="S118" s="20">
        <v>0</v>
      </c>
      <c r="T118" s="20">
        <v>1</v>
      </c>
      <c r="U118" s="20">
        <v>0</v>
      </c>
      <c r="V118" s="20">
        <v>1</v>
      </c>
      <c r="W118" s="20">
        <v>0</v>
      </c>
      <c r="X118" s="20">
        <v>0</v>
      </c>
      <c r="Y118" s="20">
        <v>1</v>
      </c>
      <c r="Z118" s="20">
        <v>0</v>
      </c>
      <c r="AA118" s="15">
        <v>0</v>
      </c>
      <c r="AB118" s="15">
        <v>0</v>
      </c>
      <c r="AC118" s="15">
        <v>0</v>
      </c>
      <c r="AD118" s="15">
        <v>0</v>
      </c>
      <c r="AE118" s="15">
        <v>0</v>
      </c>
      <c r="AF118" s="15">
        <v>1</v>
      </c>
      <c r="AG118" s="15">
        <v>0</v>
      </c>
      <c r="AH118" s="15">
        <v>0</v>
      </c>
      <c r="AI118" s="15">
        <v>0</v>
      </c>
      <c r="AJ118" s="15">
        <v>0</v>
      </c>
      <c r="AK118" s="15">
        <v>0</v>
      </c>
      <c r="AL118" s="15">
        <v>1</v>
      </c>
      <c r="AM118" s="20">
        <v>1</v>
      </c>
      <c r="AN118" s="20">
        <v>0</v>
      </c>
      <c r="AO118" s="20">
        <v>0</v>
      </c>
      <c r="AP118" s="20">
        <v>0</v>
      </c>
      <c r="AQ118" s="20">
        <v>0</v>
      </c>
      <c r="AR118" s="20">
        <v>0</v>
      </c>
      <c r="AS118" s="20">
        <v>0</v>
      </c>
      <c r="AT118" s="20">
        <v>0</v>
      </c>
      <c r="AU118" s="20">
        <v>0</v>
      </c>
      <c r="AV118" s="20">
        <v>0</v>
      </c>
      <c r="AW118" s="20">
        <v>0</v>
      </c>
      <c r="AX118" s="20">
        <v>0</v>
      </c>
    </row>
    <row r="119" spans="1:50" x14ac:dyDescent="0.3">
      <c r="A119" s="11">
        <v>20</v>
      </c>
      <c r="B119" s="11">
        <v>3</v>
      </c>
      <c r="C119" s="15">
        <v>0</v>
      </c>
      <c r="D119" s="15">
        <v>0</v>
      </c>
      <c r="E119" s="15">
        <v>0</v>
      </c>
      <c r="F119" s="15">
        <v>1</v>
      </c>
      <c r="G119" s="15">
        <v>0</v>
      </c>
      <c r="H119" s="15">
        <v>0</v>
      </c>
      <c r="I119" s="15">
        <v>1</v>
      </c>
      <c r="J119" s="15">
        <v>0</v>
      </c>
      <c r="K119" s="15">
        <v>0</v>
      </c>
      <c r="L119" s="15">
        <v>0</v>
      </c>
      <c r="M119" s="15">
        <v>0</v>
      </c>
      <c r="N119" s="15">
        <v>1</v>
      </c>
      <c r="O119" s="20">
        <v>0</v>
      </c>
      <c r="P119" s="20">
        <v>1</v>
      </c>
      <c r="Q119" s="20">
        <v>0</v>
      </c>
      <c r="R119" s="20">
        <v>0</v>
      </c>
      <c r="S119" s="20">
        <v>1</v>
      </c>
      <c r="T119" s="20">
        <v>0</v>
      </c>
      <c r="U119" s="20">
        <v>0</v>
      </c>
      <c r="V119" s="20">
        <v>1</v>
      </c>
      <c r="W119" s="20">
        <v>0</v>
      </c>
      <c r="X119" s="20">
        <v>0</v>
      </c>
      <c r="Y119" s="20">
        <v>0</v>
      </c>
      <c r="Z119" s="20">
        <v>1</v>
      </c>
      <c r="AA119" s="15">
        <v>0</v>
      </c>
      <c r="AB119" s="15">
        <v>0</v>
      </c>
      <c r="AC119" s="15">
        <v>0</v>
      </c>
      <c r="AD119" s="15">
        <v>0</v>
      </c>
      <c r="AE119" s="15">
        <v>0</v>
      </c>
      <c r="AF119" s="15">
        <v>1</v>
      </c>
      <c r="AG119" s="15">
        <v>0</v>
      </c>
      <c r="AH119" s="15">
        <v>0</v>
      </c>
      <c r="AI119" s="15">
        <v>0</v>
      </c>
      <c r="AJ119" s="15">
        <v>0</v>
      </c>
      <c r="AK119" s="15">
        <v>0</v>
      </c>
      <c r="AL119" s="15">
        <v>1</v>
      </c>
      <c r="AM119" s="20">
        <v>1</v>
      </c>
      <c r="AN119" s="20">
        <v>0</v>
      </c>
      <c r="AO119" s="20">
        <v>0</v>
      </c>
      <c r="AP119" s="20">
        <v>0</v>
      </c>
      <c r="AQ119" s="20">
        <v>0</v>
      </c>
      <c r="AR119" s="20">
        <v>0</v>
      </c>
      <c r="AS119" s="20">
        <v>0</v>
      </c>
      <c r="AT119" s="20">
        <v>0</v>
      </c>
      <c r="AU119" s="20">
        <v>0</v>
      </c>
      <c r="AV119" s="20">
        <v>0</v>
      </c>
      <c r="AW119" s="20">
        <v>0</v>
      </c>
      <c r="AX119" s="20">
        <v>0</v>
      </c>
    </row>
    <row r="120" spans="1:50" x14ac:dyDescent="0.3">
      <c r="A120" s="11">
        <v>20</v>
      </c>
      <c r="B120" s="11">
        <v>4</v>
      </c>
      <c r="C120" s="15">
        <v>0</v>
      </c>
      <c r="D120" s="15">
        <v>0</v>
      </c>
      <c r="E120" s="15">
        <v>0</v>
      </c>
      <c r="F120" s="15">
        <v>1</v>
      </c>
      <c r="G120" s="15">
        <v>1</v>
      </c>
      <c r="H120" s="15">
        <v>0</v>
      </c>
      <c r="I120" s="15">
        <v>0</v>
      </c>
      <c r="J120" s="15">
        <v>0</v>
      </c>
      <c r="K120" s="15">
        <v>1</v>
      </c>
      <c r="L120" s="15">
        <v>1</v>
      </c>
      <c r="M120" s="15">
        <v>0</v>
      </c>
      <c r="N120" s="15">
        <v>0</v>
      </c>
      <c r="O120" s="20">
        <v>0</v>
      </c>
      <c r="P120" s="20">
        <v>0</v>
      </c>
      <c r="Q120" s="20">
        <v>1</v>
      </c>
      <c r="R120" s="20">
        <v>0</v>
      </c>
      <c r="S120" s="20">
        <v>0</v>
      </c>
      <c r="T120" s="20">
        <v>1</v>
      </c>
      <c r="U120" s="20">
        <v>0</v>
      </c>
      <c r="V120" s="20">
        <v>0</v>
      </c>
      <c r="W120" s="20">
        <v>1</v>
      </c>
      <c r="X120" s="20">
        <v>0</v>
      </c>
      <c r="Y120" s="20">
        <v>0</v>
      </c>
      <c r="Z120" s="20">
        <v>0</v>
      </c>
      <c r="AA120" s="15">
        <v>0</v>
      </c>
      <c r="AB120" s="15">
        <v>0</v>
      </c>
      <c r="AC120" s="15">
        <v>0</v>
      </c>
      <c r="AD120" s="15">
        <v>0</v>
      </c>
      <c r="AE120" s="15">
        <v>0</v>
      </c>
      <c r="AF120" s="15">
        <v>0</v>
      </c>
      <c r="AG120" s="15">
        <v>0</v>
      </c>
      <c r="AH120" s="15">
        <v>0</v>
      </c>
      <c r="AI120" s="15">
        <v>1</v>
      </c>
      <c r="AJ120" s="15">
        <v>0</v>
      </c>
      <c r="AK120" s="15">
        <v>1</v>
      </c>
      <c r="AL120" s="15">
        <v>0</v>
      </c>
      <c r="AM120" s="20">
        <v>1</v>
      </c>
      <c r="AN120" s="20">
        <v>0</v>
      </c>
      <c r="AO120" s="20">
        <v>0</v>
      </c>
      <c r="AP120" s="20">
        <v>0</v>
      </c>
      <c r="AQ120" s="20">
        <v>0</v>
      </c>
      <c r="AR120" s="20">
        <v>0</v>
      </c>
      <c r="AS120" s="20">
        <v>0</v>
      </c>
      <c r="AT120" s="20">
        <v>0</v>
      </c>
      <c r="AU120" s="20">
        <v>0</v>
      </c>
      <c r="AV120" s="20">
        <v>0</v>
      </c>
      <c r="AW120" s="20">
        <v>0</v>
      </c>
      <c r="AX120" s="20">
        <v>0</v>
      </c>
    </row>
    <row r="121" spans="1:50" x14ac:dyDescent="0.3">
      <c r="A121" s="11">
        <v>20</v>
      </c>
      <c r="B121" s="11">
        <v>5</v>
      </c>
      <c r="C121" s="15">
        <v>0</v>
      </c>
      <c r="D121" s="15">
        <v>0</v>
      </c>
      <c r="E121" s="15">
        <v>0</v>
      </c>
      <c r="F121" s="15">
        <v>1</v>
      </c>
      <c r="G121" s="15">
        <v>0</v>
      </c>
      <c r="H121" s="15">
        <v>1</v>
      </c>
      <c r="I121" s="15">
        <v>0</v>
      </c>
      <c r="J121" s="15">
        <v>1</v>
      </c>
      <c r="K121" s="15">
        <v>0</v>
      </c>
      <c r="L121" s="15">
        <v>0</v>
      </c>
      <c r="M121" s="15">
        <v>1</v>
      </c>
      <c r="N121" s="15">
        <v>0</v>
      </c>
      <c r="O121" s="20">
        <v>0</v>
      </c>
      <c r="P121" s="20">
        <v>0</v>
      </c>
      <c r="Q121" s="20">
        <v>1</v>
      </c>
      <c r="R121" s="20">
        <v>0</v>
      </c>
      <c r="S121" s="20">
        <v>1</v>
      </c>
      <c r="T121" s="20">
        <v>0</v>
      </c>
      <c r="U121" s="20">
        <v>0</v>
      </c>
      <c r="V121" s="20">
        <v>0</v>
      </c>
      <c r="W121" s="20">
        <v>0</v>
      </c>
      <c r="X121" s="20">
        <v>0</v>
      </c>
      <c r="Y121" s="20">
        <v>1</v>
      </c>
      <c r="Z121" s="20">
        <v>0</v>
      </c>
      <c r="AA121" s="15">
        <v>0</v>
      </c>
      <c r="AB121" s="15">
        <v>0</v>
      </c>
      <c r="AC121" s="15">
        <v>0</v>
      </c>
      <c r="AD121" s="15">
        <v>0</v>
      </c>
      <c r="AE121" s="15">
        <v>0</v>
      </c>
      <c r="AF121" s="15">
        <v>0</v>
      </c>
      <c r="AG121" s="15">
        <v>0</v>
      </c>
      <c r="AH121" s="15">
        <v>0</v>
      </c>
      <c r="AI121" s="15">
        <v>1</v>
      </c>
      <c r="AJ121" s="15">
        <v>0</v>
      </c>
      <c r="AK121" s="15">
        <v>1</v>
      </c>
      <c r="AL121" s="15">
        <v>0</v>
      </c>
      <c r="AM121" s="20">
        <v>1</v>
      </c>
      <c r="AN121" s="20">
        <v>0</v>
      </c>
      <c r="AO121" s="20">
        <v>0</v>
      </c>
      <c r="AP121" s="20">
        <v>0</v>
      </c>
      <c r="AQ121" s="20">
        <v>0</v>
      </c>
      <c r="AR121" s="20">
        <v>0</v>
      </c>
      <c r="AS121" s="20">
        <v>0</v>
      </c>
      <c r="AT121" s="20">
        <v>0</v>
      </c>
      <c r="AU121" s="20">
        <v>0</v>
      </c>
      <c r="AV121" s="20">
        <v>0</v>
      </c>
      <c r="AW121" s="20">
        <v>0</v>
      </c>
      <c r="AX121" s="20">
        <v>0</v>
      </c>
    </row>
    <row r="122" spans="1:50" x14ac:dyDescent="0.3">
      <c r="A122" s="11">
        <v>20</v>
      </c>
      <c r="B122" s="11">
        <v>6</v>
      </c>
      <c r="C122" s="15">
        <v>0</v>
      </c>
      <c r="D122" s="15">
        <v>1</v>
      </c>
      <c r="E122" s="15">
        <v>0</v>
      </c>
      <c r="F122" s="15">
        <v>0</v>
      </c>
      <c r="G122" s="15">
        <v>0</v>
      </c>
      <c r="H122" s="15">
        <v>0</v>
      </c>
      <c r="I122" s="15">
        <v>0</v>
      </c>
      <c r="J122" s="15">
        <v>0</v>
      </c>
      <c r="K122" s="15">
        <v>0</v>
      </c>
      <c r="L122" s="15">
        <v>0</v>
      </c>
      <c r="M122" s="15">
        <v>0</v>
      </c>
      <c r="N122" s="15">
        <v>0</v>
      </c>
      <c r="O122" s="20">
        <v>0</v>
      </c>
      <c r="P122" s="20">
        <v>0</v>
      </c>
      <c r="Q122" s="20">
        <v>1</v>
      </c>
      <c r="R122" s="20">
        <v>0</v>
      </c>
      <c r="S122" s="20">
        <v>0</v>
      </c>
      <c r="T122" s="20">
        <v>0</v>
      </c>
      <c r="U122" s="20">
        <v>0</v>
      </c>
      <c r="V122" s="20">
        <v>1</v>
      </c>
      <c r="W122" s="20">
        <v>0</v>
      </c>
      <c r="X122" s="20">
        <v>1</v>
      </c>
      <c r="Y122" s="20">
        <v>0</v>
      </c>
      <c r="Z122" s="20">
        <v>0</v>
      </c>
      <c r="AA122" s="15">
        <v>0</v>
      </c>
      <c r="AB122" s="15">
        <v>0</v>
      </c>
      <c r="AC122" s="15">
        <v>0</v>
      </c>
      <c r="AD122" s="15">
        <v>1</v>
      </c>
      <c r="AE122" s="15">
        <v>0</v>
      </c>
      <c r="AF122" s="15">
        <v>0</v>
      </c>
      <c r="AG122" s="15">
        <v>1</v>
      </c>
      <c r="AH122" s="15">
        <v>0</v>
      </c>
      <c r="AI122" s="15">
        <v>0</v>
      </c>
      <c r="AJ122" s="15">
        <v>0</v>
      </c>
      <c r="AK122" s="15">
        <v>0</v>
      </c>
      <c r="AL122" s="15">
        <v>1</v>
      </c>
      <c r="AM122" s="20">
        <v>1</v>
      </c>
      <c r="AN122" s="20">
        <v>0</v>
      </c>
      <c r="AO122" s="20">
        <v>0</v>
      </c>
      <c r="AP122" s="20">
        <v>0</v>
      </c>
      <c r="AQ122" s="20">
        <v>0</v>
      </c>
      <c r="AR122" s="20">
        <v>0</v>
      </c>
      <c r="AS122" s="20">
        <v>0</v>
      </c>
      <c r="AT122" s="20">
        <v>0</v>
      </c>
      <c r="AU122" s="20">
        <v>0</v>
      </c>
      <c r="AV122" s="20">
        <v>0</v>
      </c>
      <c r="AW122" s="20">
        <v>0</v>
      </c>
      <c r="AX122" s="20">
        <v>0</v>
      </c>
    </row>
    <row r="123" spans="1:50" x14ac:dyDescent="0.3">
      <c r="A123" s="11">
        <v>21</v>
      </c>
      <c r="B123" s="11">
        <v>1</v>
      </c>
      <c r="C123" s="15">
        <v>0</v>
      </c>
      <c r="D123" s="15">
        <v>1</v>
      </c>
      <c r="E123" s="15">
        <v>0</v>
      </c>
      <c r="F123" s="15">
        <v>0</v>
      </c>
      <c r="G123" s="15">
        <v>1</v>
      </c>
      <c r="H123" s="15">
        <v>0</v>
      </c>
      <c r="I123" s="15">
        <v>0</v>
      </c>
      <c r="J123" s="15">
        <v>1</v>
      </c>
      <c r="K123" s="15">
        <v>0</v>
      </c>
      <c r="L123" s="15">
        <v>0</v>
      </c>
      <c r="M123" s="15">
        <v>0</v>
      </c>
      <c r="N123" s="15">
        <v>1</v>
      </c>
      <c r="O123" s="20">
        <v>0</v>
      </c>
      <c r="P123" s="20">
        <v>1</v>
      </c>
      <c r="Q123" s="20">
        <v>0</v>
      </c>
      <c r="R123" s="20">
        <v>0</v>
      </c>
      <c r="S123" s="20">
        <v>0</v>
      </c>
      <c r="T123" s="20">
        <v>1</v>
      </c>
      <c r="U123" s="20">
        <v>1</v>
      </c>
      <c r="V123" s="20">
        <v>0</v>
      </c>
      <c r="W123" s="20">
        <v>0</v>
      </c>
      <c r="X123" s="20">
        <v>1</v>
      </c>
      <c r="Y123" s="20">
        <v>0</v>
      </c>
      <c r="Z123" s="20">
        <v>0</v>
      </c>
      <c r="AA123" s="15">
        <v>0</v>
      </c>
      <c r="AB123" s="15">
        <v>1</v>
      </c>
      <c r="AC123" s="15">
        <v>0</v>
      </c>
      <c r="AD123" s="15">
        <v>0</v>
      </c>
      <c r="AE123" s="15">
        <v>0</v>
      </c>
      <c r="AF123" s="15">
        <v>0</v>
      </c>
      <c r="AG123" s="15">
        <v>0</v>
      </c>
      <c r="AH123" s="15">
        <v>0</v>
      </c>
      <c r="AI123" s="15">
        <v>0</v>
      </c>
      <c r="AJ123" s="15">
        <v>0</v>
      </c>
      <c r="AK123" s="15">
        <v>0</v>
      </c>
      <c r="AL123" s="15">
        <v>0</v>
      </c>
      <c r="AM123" s="20">
        <v>1</v>
      </c>
      <c r="AN123" s="20">
        <v>0</v>
      </c>
      <c r="AO123" s="20">
        <v>0</v>
      </c>
      <c r="AP123" s="20">
        <v>0</v>
      </c>
      <c r="AQ123" s="20">
        <v>0</v>
      </c>
      <c r="AR123" s="20">
        <v>0</v>
      </c>
      <c r="AS123" s="20">
        <v>0</v>
      </c>
      <c r="AT123" s="20">
        <v>0</v>
      </c>
      <c r="AU123" s="20">
        <v>0</v>
      </c>
      <c r="AV123" s="20">
        <v>0</v>
      </c>
      <c r="AW123" s="20">
        <v>0</v>
      </c>
      <c r="AX123" s="20">
        <v>0</v>
      </c>
    </row>
    <row r="124" spans="1:50" x14ac:dyDescent="0.3">
      <c r="A124" s="11">
        <v>21</v>
      </c>
      <c r="B124" s="11">
        <v>2</v>
      </c>
      <c r="C124" s="15">
        <v>0</v>
      </c>
      <c r="D124" s="15">
        <v>0</v>
      </c>
      <c r="E124" s="15">
        <v>1</v>
      </c>
      <c r="F124" s="15">
        <v>0</v>
      </c>
      <c r="G124" s="15">
        <v>0</v>
      </c>
      <c r="H124" s="15">
        <v>1</v>
      </c>
      <c r="I124" s="15">
        <v>0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20">
        <v>0</v>
      </c>
      <c r="P124" s="20">
        <v>0</v>
      </c>
      <c r="Q124" s="20">
        <v>0</v>
      </c>
      <c r="R124" s="20">
        <v>1</v>
      </c>
      <c r="S124" s="20">
        <v>0</v>
      </c>
      <c r="T124" s="20">
        <v>1</v>
      </c>
      <c r="U124" s="20">
        <v>0</v>
      </c>
      <c r="V124" s="20">
        <v>1</v>
      </c>
      <c r="W124" s="20">
        <v>0</v>
      </c>
      <c r="X124" s="20">
        <v>0</v>
      </c>
      <c r="Y124" s="20">
        <v>1</v>
      </c>
      <c r="Z124" s="20">
        <v>0</v>
      </c>
      <c r="AA124" s="15">
        <v>0</v>
      </c>
      <c r="AB124" s="15">
        <v>0</v>
      </c>
      <c r="AC124" s="15">
        <v>0</v>
      </c>
      <c r="AD124" s="15">
        <v>0</v>
      </c>
      <c r="AE124" s="15">
        <v>0</v>
      </c>
      <c r="AF124" s="15">
        <v>1</v>
      </c>
      <c r="AG124" s="15">
        <v>0</v>
      </c>
      <c r="AH124" s="15">
        <v>0</v>
      </c>
      <c r="AI124" s="15">
        <v>0</v>
      </c>
      <c r="AJ124" s="15">
        <v>0</v>
      </c>
      <c r="AK124" s="15">
        <v>0</v>
      </c>
      <c r="AL124" s="15">
        <v>1</v>
      </c>
      <c r="AM124" s="20">
        <v>1</v>
      </c>
      <c r="AN124" s="20">
        <v>0</v>
      </c>
      <c r="AO124" s="20">
        <v>0</v>
      </c>
      <c r="AP124" s="20">
        <v>0</v>
      </c>
      <c r="AQ124" s="20">
        <v>0</v>
      </c>
      <c r="AR124" s="20">
        <v>0</v>
      </c>
      <c r="AS124" s="20">
        <v>0</v>
      </c>
      <c r="AT124" s="20">
        <v>0</v>
      </c>
      <c r="AU124" s="20">
        <v>0</v>
      </c>
      <c r="AV124" s="20">
        <v>0</v>
      </c>
      <c r="AW124" s="20">
        <v>0</v>
      </c>
      <c r="AX124" s="20">
        <v>0</v>
      </c>
    </row>
    <row r="125" spans="1:50" x14ac:dyDescent="0.3">
      <c r="A125" s="11">
        <v>21</v>
      </c>
      <c r="B125" s="11">
        <v>3</v>
      </c>
      <c r="C125" s="15">
        <v>0</v>
      </c>
      <c r="D125" s="15">
        <v>0</v>
      </c>
      <c r="E125" s="15">
        <v>0</v>
      </c>
      <c r="F125" s="15">
        <v>1</v>
      </c>
      <c r="G125" s="15">
        <v>0</v>
      </c>
      <c r="H125" s="15">
        <v>0</v>
      </c>
      <c r="I125" s="15">
        <v>1</v>
      </c>
      <c r="J125" s="15">
        <v>0</v>
      </c>
      <c r="K125" s="15">
        <v>0</v>
      </c>
      <c r="L125" s="15">
        <v>0</v>
      </c>
      <c r="M125" s="15">
        <v>0</v>
      </c>
      <c r="N125" s="15">
        <v>1</v>
      </c>
      <c r="O125" s="20">
        <v>0</v>
      </c>
      <c r="P125" s="20">
        <v>1</v>
      </c>
      <c r="Q125" s="20">
        <v>0</v>
      </c>
      <c r="R125" s="20">
        <v>0</v>
      </c>
      <c r="S125" s="20">
        <v>1</v>
      </c>
      <c r="T125" s="20">
        <v>0</v>
      </c>
      <c r="U125" s="20">
        <v>0</v>
      </c>
      <c r="V125" s="20">
        <v>1</v>
      </c>
      <c r="W125" s="20">
        <v>0</v>
      </c>
      <c r="X125" s="20">
        <v>0</v>
      </c>
      <c r="Y125" s="20">
        <v>0</v>
      </c>
      <c r="Z125" s="20">
        <v>1</v>
      </c>
      <c r="AA125" s="15">
        <v>0</v>
      </c>
      <c r="AB125" s="15">
        <v>0</v>
      </c>
      <c r="AC125" s="15">
        <v>0</v>
      </c>
      <c r="AD125" s="15">
        <v>0</v>
      </c>
      <c r="AE125" s="15">
        <v>0</v>
      </c>
      <c r="AF125" s="15">
        <v>1</v>
      </c>
      <c r="AG125" s="15">
        <v>0</v>
      </c>
      <c r="AH125" s="15">
        <v>0</v>
      </c>
      <c r="AI125" s="15">
        <v>0</v>
      </c>
      <c r="AJ125" s="15">
        <v>0</v>
      </c>
      <c r="AK125" s="15">
        <v>0</v>
      </c>
      <c r="AL125" s="15">
        <v>1</v>
      </c>
      <c r="AM125" s="20">
        <v>1</v>
      </c>
      <c r="AN125" s="20">
        <v>0</v>
      </c>
      <c r="AO125" s="20">
        <v>0</v>
      </c>
      <c r="AP125" s="20">
        <v>0</v>
      </c>
      <c r="AQ125" s="20">
        <v>0</v>
      </c>
      <c r="AR125" s="20">
        <v>0</v>
      </c>
      <c r="AS125" s="20">
        <v>0</v>
      </c>
      <c r="AT125" s="20">
        <v>0</v>
      </c>
      <c r="AU125" s="20">
        <v>0</v>
      </c>
      <c r="AV125" s="20">
        <v>0</v>
      </c>
      <c r="AW125" s="20">
        <v>0</v>
      </c>
      <c r="AX125" s="20">
        <v>0</v>
      </c>
    </row>
    <row r="126" spans="1:50" x14ac:dyDescent="0.3">
      <c r="A126" s="11">
        <v>21</v>
      </c>
      <c r="B126" s="11">
        <v>4</v>
      </c>
      <c r="C126" s="15">
        <v>0</v>
      </c>
      <c r="D126" s="15">
        <v>0</v>
      </c>
      <c r="E126" s="15">
        <v>0</v>
      </c>
      <c r="F126" s="15">
        <v>1</v>
      </c>
      <c r="G126" s="15">
        <v>1</v>
      </c>
      <c r="H126" s="15">
        <v>0</v>
      </c>
      <c r="I126" s="15">
        <v>0</v>
      </c>
      <c r="J126" s="15">
        <v>0</v>
      </c>
      <c r="K126" s="15">
        <v>1</v>
      </c>
      <c r="L126" s="15">
        <v>1</v>
      </c>
      <c r="M126" s="15">
        <v>0</v>
      </c>
      <c r="N126" s="15">
        <v>0</v>
      </c>
      <c r="O126" s="20">
        <v>0</v>
      </c>
      <c r="P126" s="20">
        <v>0</v>
      </c>
      <c r="Q126" s="20">
        <v>1</v>
      </c>
      <c r="R126" s="20">
        <v>0</v>
      </c>
      <c r="S126" s="20">
        <v>0</v>
      </c>
      <c r="T126" s="20">
        <v>1</v>
      </c>
      <c r="U126" s="20">
        <v>0</v>
      </c>
      <c r="V126" s="20">
        <v>0</v>
      </c>
      <c r="W126" s="20">
        <v>1</v>
      </c>
      <c r="X126" s="20">
        <v>0</v>
      </c>
      <c r="Y126" s="20">
        <v>0</v>
      </c>
      <c r="Z126" s="20">
        <v>0</v>
      </c>
      <c r="AA126" s="15">
        <v>0</v>
      </c>
      <c r="AB126" s="15">
        <v>0</v>
      </c>
      <c r="AC126" s="15">
        <v>0</v>
      </c>
      <c r="AD126" s="15">
        <v>0</v>
      </c>
      <c r="AE126" s="15">
        <v>0</v>
      </c>
      <c r="AF126" s="15">
        <v>0</v>
      </c>
      <c r="AG126" s="15">
        <v>0</v>
      </c>
      <c r="AH126" s="15">
        <v>0</v>
      </c>
      <c r="AI126" s="15">
        <v>1</v>
      </c>
      <c r="AJ126" s="15">
        <v>0</v>
      </c>
      <c r="AK126" s="15">
        <v>1</v>
      </c>
      <c r="AL126" s="15">
        <v>0</v>
      </c>
      <c r="AM126" s="20">
        <v>1</v>
      </c>
      <c r="AN126" s="20">
        <v>0</v>
      </c>
      <c r="AO126" s="20">
        <v>0</v>
      </c>
      <c r="AP126" s="20">
        <v>0</v>
      </c>
      <c r="AQ126" s="20">
        <v>0</v>
      </c>
      <c r="AR126" s="20">
        <v>0</v>
      </c>
      <c r="AS126" s="20">
        <v>0</v>
      </c>
      <c r="AT126" s="20">
        <v>0</v>
      </c>
      <c r="AU126" s="20">
        <v>0</v>
      </c>
      <c r="AV126" s="20">
        <v>0</v>
      </c>
      <c r="AW126" s="20">
        <v>0</v>
      </c>
      <c r="AX126" s="20">
        <v>0</v>
      </c>
    </row>
    <row r="127" spans="1:50" x14ac:dyDescent="0.3">
      <c r="A127" s="11">
        <v>21</v>
      </c>
      <c r="B127" s="11">
        <v>5</v>
      </c>
      <c r="C127" s="15">
        <v>0</v>
      </c>
      <c r="D127" s="15">
        <v>0</v>
      </c>
      <c r="E127" s="15">
        <v>0</v>
      </c>
      <c r="F127" s="15">
        <v>1</v>
      </c>
      <c r="G127" s="15">
        <v>0</v>
      </c>
      <c r="H127" s="15">
        <v>1</v>
      </c>
      <c r="I127" s="15">
        <v>0</v>
      </c>
      <c r="J127" s="15">
        <v>1</v>
      </c>
      <c r="K127" s="15">
        <v>0</v>
      </c>
      <c r="L127" s="15">
        <v>0</v>
      </c>
      <c r="M127" s="15">
        <v>1</v>
      </c>
      <c r="N127" s="15">
        <v>0</v>
      </c>
      <c r="O127" s="20">
        <v>0</v>
      </c>
      <c r="P127" s="20">
        <v>0</v>
      </c>
      <c r="Q127" s="20">
        <v>1</v>
      </c>
      <c r="R127" s="20">
        <v>0</v>
      </c>
      <c r="S127" s="20">
        <v>1</v>
      </c>
      <c r="T127" s="20">
        <v>0</v>
      </c>
      <c r="U127" s="20">
        <v>0</v>
      </c>
      <c r="V127" s="20">
        <v>0</v>
      </c>
      <c r="W127" s="20">
        <v>0</v>
      </c>
      <c r="X127" s="20">
        <v>0</v>
      </c>
      <c r="Y127" s="20">
        <v>1</v>
      </c>
      <c r="Z127" s="20">
        <v>0</v>
      </c>
      <c r="AA127" s="15">
        <v>0</v>
      </c>
      <c r="AB127" s="15">
        <v>0</v>
      </c>
      <c r="AC127" s="15">
        <v>0</v>
      </c>
      <c r="AD127" s="15">
        <v>0</v>
      </c>
      <c r="AE127" s="15">
        <v>0</v>
      </c>
      <c r="AF127" s="15">
        <v>0</v>
      </c>
      <c r="AG127" s="15">
        <v>0</v>
      </c>
      <c r="AH127" s="15">
        <v>0</v>
      </c>
      <c r="AI127" s="15">
        <v>1</v>
      </c>
      <c r="AJ127" s="15">
        <v>0</v>
      </c>
      <c r="AK127" s="15">
        <v>1</v>
      </c>
      <c r="AL127" s="15">
        <v>0</v>
      </c>
      <c r="AM127" s="20">
        <v>1</v>
      </c>
      <c r="AN127" s="20">
        <v>0</v>
      </c>
      <c r="AO127" s="20">
        <v>0</v>
      </c>
      <c r="AP127" s="20">
        <v>0</v>
      </c>
      <c r="AQ127" s="20">
        <v>0</v>
      </c>
      <c r="AR127" s="20">
        <v>0</v>
      </c>
      <c r="AS127" s="20">
        <v>0</v>
      </c>
      <c r="AT127" s="20">
        <v>0</v>
      </c>
      <c r="AU127" s="20">
        <v>0</v>
      </c>
      <c r="AV127" s="20">
        <v>0</v>
      </c>
      <c r="AW127" s="20">
        <v>0</v>
      </c>
      <c r="AX127" s="20">
        <v>0</v>
      </c>
    </row>
    <row r="128" spans="1:50" x14ac:dyDescent="0.3">
      <c r="A128" s="11">
        <v>21</v>
      </c>
      <c r="B128" s="11">
        <v>6</v>
      </c>
      <c r="C128" s="15">
        <v>0</v>
      </c>
      <c r="D128" s="15">
        <v>1</v>
      </c>
      <c r="E128" s="15">
        <v>0</v>
      </c>
      <c r="F128" s="15">
        <v>0</v>
      </c>
      <c r="G128" s="15">
        <v>0</v>
      </c>
      <c r="H128" s="15">
        <v>0</v>
      </c>
      <c r="I128" s="15">
        <v>0</v>
      </c>
      <c r="J128" s="15">
        <v>0</v>
      </c>
      <c r="K128" s="15">
        <v>0</v>
      </c>
      <c r="L128" s="15">
        <v>0</v>
      </c>
      <c r="M128" s="15">
        <v>0</v>
      </c>
      <c r="N128" s="15">
        <v>0</v>
      </c>
      <c r="O128" s="20">
        <v>0</v>
      </c>
      <c r="P128" s="20">
        <v>0</v>
      </c>
      <c r="Q128" s="20">
        <v>1</v>
      </c>
      <c r="R128" s="20">
        <v>0</v>
      </c>
      <c r="S128" s="20">
        <v>0</v>
      </c>
      <c r="T128" s="20">
        <v>0</v>
      </c>
      <c r="U128" s="20">
        <v>0</v>
      </c>
      <c r="V128" s="20">
        <v>1</v>
      </c>
      <c r="W128" s="20">
        <v>0</v>
      </c>
      <c r="X128" s="20">
        <v>1</v>
      </c>
      <c r="Y128" s="20">
        <v>0</v>
      </c>
      <c r="Z128" s="20">
        <v>0</v>
      </c>
      <c r="AA128" s="15">
        <v>0</v>
      </c>
      <c r="AB128" s="15">
        <v>0</v>
      </c>
      <c r="AC128" s="15">
        <v>0</v>
      </c>
      <c r="AD128" s="15">
        <v>1</v>
      </c>
      <c r="AE128" s="15">
        <v>0</v>
      </c>
      <c r="AF128" s="15">
        <v>0</v>
      </c>
      <c r="AG128" s="15">
        <v>1</v>
      </c>
      <c r="AH128" s="15">
        <v>0</v>
      </c>
      <c r="AI128" s="15">
        <v>0</v>
      </c>
      <c r="AJ128" s="15">
        <v>0</v>
      </c>
      <c r="AK128" s="15">
        <v>0</v>
      </c>
      <c r="AL128" s="15">
        <v>1</v>
      </c>
      <c r="AM128" s="20">
        <v>1</v>
      </c>
      <c r="AN128" s="20">
        <v>0</v>
      </c>
      <c r="AO128" s="20">
        <v>0</v>
      </c>
      <c r="AP128" s="20">
        <v>0</v>
      </c>
      <c r="AQ128" s="20">
        <v>0</v>
      </c>
      <c r="AR128" s="20">
        <v>0</v>
      </c>
      <c r="AS128" s="20">
        <v>0</v>
      </c>
      <c r="AT128" s="20">
        <v>0</v>
      </c>
      <c r="AU128" s="20">
        <v>0</v>
      </c>
      <c r="AV128" s="20">
        <v>0</v>
      </c>
      <c r="AW128" s="20">
        <v>0</v>
      </c>
      <c r="AX128" s="20">
        <v>0</v>
      </c>
    </row>
    <row r="129" spans="1:50" x14ac:dyDescent="0.3">
      <c r="A129" s="11">
        <v>22</v>
      </c>
      <c r="B129" s="11">
        <v>1</v>
      </c>
      <c r="C129" s="15">
        <v>0</v>
      </c>
      <c r="D129" s="15">
        <v>1</v>
      </c>
      <c r="E129" s="15">
        <v>0</v>
      </c>
      <c r="F129" s="15">
        <v>0</v>
      </c>
      <c r="G129" s="15">
        <v>1</v>
      </c>
      <c r="H129" s="15">
        <v>0</v>
      </c>
      <c r="I129" s="15">
        <v>0</v>
      </c>
      <c r="J129" s="15">
        <v>1</v>
      </c>
      <c r="K129" s="15">
        <v>0</v>
      </c>
      <c r="L129" s="15">
        <v>0</v>
      </c>
      <c r="M129" s="15">
        <v>0</v>
      </c>
      <c r="N129" s="15">
        <v>1</v>
      </c>
      <c r="O129" s="20">
        <v>0</v>
      </c>
      <c r="P129" s="20">
        <v>1</v>
      </c>
      <c r="Q129" s="20">
        <v>0</v>
      </c>
      <c r="R129" s="20">
        <v>0</v>
      </c>
      <c r="S129" s="20">
        <v>0</v>
      </c>
      <c r="T129" s="20">
        <v>1</v>
      </c>
      <c r="U129" s="20">
        <v>1</v>
      </c>
      <c r="V129" s="20">
        <v>0</v>
      </c>
      <c r="W129" s="20">
        <v>0</v>
      </c>
      <c r="X129" s="20">
        <v>1</v>
      </c>
      <c r="Y129" s="20">
        <v>0</v>
      </c>
      <c r="Z129" s="20">
        <v>0</v>
      </c>
      <c r="AA129" s="15">
        <v>0</v>
      </c>
      <c r="AB129" s="15">
        <v>1</v>
      </c>
      <c r="AC129" s="15">
        <v>0</v>
      </c>
      <c r="AD129" s="15">
        <v>0</v>
      </c>
      <c r="AE129" s="15">
        <v>0</v>
      </c>
      <c r="AF129" s="15">
        <v>0</v>
      </c>
      <c r="AG129" s="15">
        <v>0</v>
      </c>
      <c r="AH129" s="15">
        <v>0</v>
      </c>
      <c r="AI129" s="15">
        <v>0</v>
      </c>
      <c r="AJ129" s="15">
        <v>0</v>
      </c>
      <c r="AK129" s="15">
        <v>0</v>
      </c>
      <c r="AL129" s="15">
        <v>0</v>
      </c>
      <c r="AM129" s="20">
        <v>1</v>
      </c>
      <c r="AN129" s="20">
        <v>0</v>
      </c>
      <c r="AO129" s="20">
        <v>0</v>
      </c>
      <c r="AP129" s="20">
        <v>0</v>
      </c>
      <c r="AQ129" s="20">
        <v>0</v>
      </c>
      <c r="AR129" s="20">
        <v>0</v>
      </c>
      <c r="AS129" s="20">
        <v>0</v>
      </c>
      <c r="AT129" s="20">
        <v>0</v>
      </c>
      <c r="AU129" s="20">
        <v>0</v>
      </c>
      <c r="AV129" s="20">
        <v>0</v>
      </c>
      <c r="AW129" s="20">
        <v>0</v>
      </c>
      <c r="AX129" s="20">
        <v>0</v>
      </c>
    </row>
    <row r="130" spans="1:50" x14ac:dyDescent="0.3">
      <c r="A130" s="11">
        <v>22</v>
      </c>
      <c r="B130" s="11">
        <v>2</v>
      </c>
      <c r="C130" s="15">
        <v>0</v>
      </c>
      <c r="D130" s="15">
        <v>0</v>
      </c>
      <c r="E130" s="15">
        <v>1</v>
      </c>
      <c r="F130" s="15">
        <v>0</v>
      </c>
      <c r="G130" s="15">
        <v>0</v>
      </c>
      <c r="H130" s="15">
        <v>1</v>
      </c>
      <c r="I130" s="15">
        <v>0</v>
      </c>
      <c r="J130" s="15">
        <v>0</v>
      </c>
      <c r="K130" s="15">
        <v>1</v>
      </c>
      <c r="L130" s="15">
        <v>0</v>
      </c>
      <c r="M130" s="15">
        <v>0</v>
      </c>
      <c r="N130" s="15">
        <v>0</v>
      </c>
      <c r="O130" s="20">
        <v>0</v>
      </c>
      <c r="P130" s="20">
        <v>0</v>
      </c>
      <c r="Q130" s="20">
        <v>0</v>
      </c>
      <c r="R130" s="20">
        <v>1</v>
      </c>
      <c r="S130" s="20">
        <v>0</v>
      </c>
      <c r="T130" s="20">
        <v>1</v>
      </c>
      <c r="U130" s="20">
        <v>0</v>
      </c>
      <c r="V130" s="20">
        <v>1</v>
      </c>
      <c r="W130" s="20">
        <v>0</v>
      </c>
      <c r="X130" s="20">
        <v>0</v>
      </c>
      <c r="Y130" s="20">
        <v>1</v>
      </c>
      <c r="Z130" s="20">
        <v>0</v>
      </c>
      <c r="AA130" s="15">
        <v>0</v>
      </c>
      <c r="AB130" s="15">
        <v>0</v>
      </c>
      <c r="AC130" s="15">
        <v>0</v>
      </c>
      <c r="AD130" s="15">
        <v>0</v>
      </c>
      <c r="AE130" s="15">
        <v>0</v>
      </c>
      <c r="AF130" s="15">
        <v>1</v>
      </c>
      <c r="AG130" s="15">
        <v>0</v>
      </c>
      <c r="AH130" s="15">
        <v>0</v>
      </c>
      <c r="AI130" s="15">
        <v>0</v>
      </c>
      <c r="AJ130" s="15">
        <v>0</v>
      </c>
      <c r="AK130" s="15">
        <v>0</v>
      </c>
      <c r="AL130" s="15">
        <v>1</v>
      </c>
      <c r="AM130" s="20">
        <v>1</v>
      </c>
      <c r="AN130" s="20">
        <v>0</v>
      </c>
      <c r="AO130" s="20">
        <v>0</v>
      </c>
      <c r="AP130" s="20">
        <v>0</v>
      </c>
      <c r="AQ130" s="20">
        <v>0</v>
      </c>
      <c r="AR130" s="20">
        <v>0</v>
      </c>
      <c r="AS130" s="20">
        <v>0</v>
      </c>
      <c r="AT130" s="20">
        <v>0</v>
      </c>
      <c r="AU130" s="20">
        <v>0</v>
      </c>
      <c r="AV130" s="20">
        <v>0</v>
      </c>
      <c r="AW130" s="20">
        <v>0</v>
      </c>
      <c r="AX130" s="20">
        <v>0</v>
      </c>
    </row>
    <row r="131" spans="1:50" x14ac:dyDescent="0.3">
      <c r="A131" s="11">
        <v>22</v>
      </c>
      <c r="B131" s="11">
        <v>3</v>
      </c>
      <c r="C131" s="15">
        <v>0</v>
      </c>
      <c r="D131" s="15">
        <v>0</v>
      </c>
      <c r="E131" s="15">
        <v>0</v>
      </c>
      <c r="F131" s="15">
        <v>1</v>
      </c>
      <c r="G131" s="15">
        <v>0</v>
      </c>
      <c r="H131" s="15">
        <v>0</v>
      </c>
      <c r="I131" s="15">
        <v>1</v>
      </c>
      <c r="J131" s="15">
        <v>0</v>
      </c>
      <c r="K131" s="15">
        <v>0</v>
      </c>
      <c r="L131" s="15">
        <v>0</v>
      </c>
      <c r="M131" s="15">
        <v>0</v>
      </c>
      <c r="N131" s="15">
        <v>1</v>
      </c>
      <c r="O131" s="20">
        <v>0</v>
      </c>
      <c r="P131" s="20">
        <v>1</v>
      </c>
      <c r="Q131" s="20">
        <v>0</v>
      </c>
      <c r="R131" s="20">
        <v>0</v>
      </c>
      <c r="S131" s="20">
        <v>1</v>
      </c>
      <c r="T131" s="20">
        <v>0</v>
      </c>
      <c r="U131" s="20">
        <v>0</v>
      </c>
      <c r="V131" s="20">
        <v>1</v>
      </c>
      <c r="W131" s="20">
        <v>0</v>
      </c>
      <c r="X131" s="20">
        <v>0</v>
      </c>
      <c r="Y131" s="20">
        <v>0</v>
      </c>
      <c r="Z131" s="20">
        <v>1</v>
      </c>
      <c r="AA131" s="15">
        <v>0</v>
      </c>
      <c r="AB131" s="15">
        <v>0</v>
      </c>
      <c r="AC131" s="15">
        <v>0</v>
      </c>
      <c r="AD131" s="15">
        <v>0</v>
      </c>
      <c r="AE131" s="15">
        <v>0</v>
      </c>
      <c r="AF131" s="15">
        <v>1</v>
      </c>
      <c r="AG131" s="15">
        <v>0</v>
      </c>
      <c r="AH131" s="15">
        <v>0</v>
      </c>
      <c r="AI131" s="15">
        <v>0</v>
      </c>
      <c r="AJ131" s="15">
        <v>0</v>
      </c>
      <c r="AK131" s="15">
        <v>0</v>
      </c>
      <c r="AL131" s="15">
        <v>1</v>
      </c>
      <c r="AM131" s="20">
        <v>1</v>
      </c>
      <c r="AN131" s="20">
        <v>0</v>
      </c>
      <c r="AO131" s="20">
        <v>0</v>
      </c>
      <c r="AP131" s="20">
        <v>0</v>
      </c>
      <c r="AQ131" s="20">
        <v>0</v>
      </c>
      <c r="AR131" s="20">
        <v>0</v>
      </c>
      <c r="AS131" s="20">
        <v>0</v>
      </c>
      <c r="AT131" s="20">
        <v>0</v>
      </c>
      <c r="AU131" s="20">
        <v>0</v>
      </c>
      <c r="AV131" s="20">
        <v>0</v>
      </c>
      <c r="AW131" s="20">
        <v>0</v>
      </c>
      <c r="AX131" s="20">
        <v>0</v>
      </c>
    </row>
    <row r="132" spans="1:50" x14ac:dyDescent="0.3">
      <c r="A132" s="11">
        <v>22</v>
      </c>
      <c r="B132" s="11">
        <v>4</v>
      </c>
      <c r="C132" s="15">
        <v>0</v>
      </c>
      <c r="D132" s="15">
        <v>0</v>
      </c>
      <c r="E132" s="15">
        <v>0</v>
      </c>
      <c r="F132" s="15">
        <v>1</v>
      </c>
      <c r="G132" s="15">
        <v>1</v>
      </c>
      <c r="H132" s="15">
        <v>0</v>
      </c>
      <c r="I132" s="15">
        <v>0</v>
      </c>
      <c r="J132" s="15">
        <v>0</v>
      </c>
      <c r="K132" s="15">
        <v>1</v>
      </c>
      <c r="L132" s="15">
        <v>1</v>
      </c>
      <c r="M132" s="15">
        <v>0</v>
      </c>
      <c r="N132" s="15">
        <v>0</v>
      </c>
      <c r="O132" s="20">
        <v>0</v>
      </c>
      <c r="P132" s="20">
        <v>0</v>
      </c>
      <c r="Q132" s="20">
        <v>1</v>
      </c>
      <c r="R132" s="20">
        <v>0</v>
      </c>
      <c r="S132" s="20">
        <v>0</v>
      </c>
      <c r="T132" s="20">
        <v>1</v>
      </c>
      <c r="U132" s="20">
        <v>0</v>
      </c>
      <c r="V132" s="20">
        <v>0</v>
      </c>
      <c r="W132" s="20">
        <v>1</v>
      </c>
      <c r="X132" s="20">
        <v>0</v>
      </c>
      <c r="Y132" s="20">
        <v>0</v>
      </c>
      <c r="Z132" s="20">
        <v>0</v>
      </c>
      <c r="AA132" s="15">
        <v>0</v>
      </c>
      <c r="AB132" s="15">
        <v>0</v>
      </c>
      <c r="AC132" s="15">
        <v>0</v>
      </c>
      <c r="AD132" s="15">
        <v>0</v>
      </c>
      <c r="AE132" s="15">
        <v>0</v>
      </c>
      <c r="AF132" s="15">
        <v>0</v>
      </c>
      <c r="AG132" s="15">
        <v>0</v>
      </c>
      <c r="AH132" s="15">
        <v>0</v>
      </c>
      <c r="AI132" s="15">
        <v>1</v>
      </c>
      <c r="AJ132" s="15">
        <v>0</v>
      </c>
      <c r="AK132" s="15">
        <v>1</v>
      </c>
      <c r="AL132" s="15">
        <v>0</v>
      </c>
      <c r="AM132" s="20">
        <v>1</v>
      </c>
      <c r="AN132" s="20">
        <v>0</v>
      </c>
      <c r="AO132" s="20">
        <v>0</v>
      </c>
      <c r="AP132" s="20">
        <v>0</v>
      </c>
      <c r="AQ132" s="20">
        <v>0</v>
      </c>
      <c r="AR132" s="20">
        <v>0</v>
      </c>
      <c r="AS132" s="20">
        <v>0</v>
      </c>
      <c r="AT132" s="20">
        <v>0</v>
      </c>
      <c r="AU132" s="20">
        <v>0</v>
      </c>
      <c r="AV132" s="20">
        <v>0</v>
      </c>
      <c r="AW132" s="20">
        <v>0</v>
      </c>
      <c r="AX132" s="20">
        <v>0</v>
      </c>
    </row>
    <row r="133" spans="1:50" x14ac:dyDescent="0.3">
      <c r="A133" s="11">
        <v>22</v>
      </c>
      <c r="B133" s="11">
        <v>5</v>
      </c>
      <c r="C133" s="15">
        <v>0</v>
      </c>
      <c r="D133" s="15">
        <v>0</v>
      </c>
      <c r="E133" s="15">
        <v>0</v>
      </c>
      <c r="F133" s="15">
        <v>1</v>
      </c>
      <c r="G133" s="15">
        <v>0</v>
      </c>
      <c r="H133" s="15">
        <v>1</v>
      </c>
      <c r="I133" s="15">
        <v>0</v>
      </c>
      <c r="J133" s="15">
        <v>1</v>
      </c>
      <c r="K133" s="15">
        <v>0</v>
      </c>
      <c r="L133" s="15">
        <v>0</v>
      </c>
      <c r="M133" s="15">
        <v>1</v>
      </c>
      <c r="N133" s="15">
        <v>0</v>
      </c>
      <c r="O133" s="20">
        <v>0</v>
      </c>
      <c r="P133" s="20">
        <v>0</v>
      </c>
      <c r="Q133" s="20">
        <v>1</v>
      </c>
      <c r="R133" s="20">
        <v>0</v>
      </c>
      <c r="S133" s="20">
        <v>1</v>
      </c>
      <c r="T133" s="20">
        <v>0</v>
      </c>
      <c r="U133" s="20">
        <v>0</v>
      </c>
      <c r="V133" s="20">
        <v>0</v>
      </c>
      <c r="W133" s="20">
        <v>0</v>
      </c>
      <c r="X133" s="20">
        <v>0</v>
      </c>
      <c r="Y133" s="20">
        <v>1</v>
      </c>
      <c r="Z133" s="20">
        <v>0</v>
      </c>
      <c r="AA133" s="15">
        <v>0</v>
      </c>
      <c r="AB133" s="15">
        <v>0</v>
      </c>
      <c r="AC133" s="15">
        <v>0</v>
      </c>
      <c r="AD133" s="15">
        <v>0</v>
      </c>
      <c r="AE133" s="15">
        <v>0</v>
      </c>
      <c r="AF133" s="15">
        <v>0</v>
      </c>
      <c r="AG133" s="15">
        <v>0</v>
      </c>
      <c r="AH133" s="15">
        <v>0</v>
      </c>
      <c r="AI133" s="15">
        <v>1</v>
      </c>
      <c r="AJ133" s="15">
        <v>0</v>
      </c>
      <c r="AK133" s="15">
        <v>1</v>
      </c>
      <c r="AL133" s="15">
        <v>0</v>
      </c>
      <c r="AM133" s="20">
        <v>1</v>
      </c>
      <c r="AN133" s="20">
        <v>0</v>
      </c>
      <c r="AO133" s="20">
        <v>0</v>
      </c>
      <c r="AP133" s="20">
        <v>0</v>
      </c>
      <c r="AQ133" s="20">
        <v>0</v>
      </c>
      <c r="AR133" s="20">
        <v>0</v>
      </c>
      <c r="AS133" s="20">
        <v>0</v>
      </c>
      <c r="AT133" s="20">
        <v>0</v>
      </c>
      <c r="AU133" s="20">
        <v>0</v>
      </c>
      <c r="AV133" s="20">
        <v>0</v>
      </c>
      <c r="AW133" s="20">
        <v>0</v>
      </c>
      <c r="AX133" s="20">
        <v>0</v>
      </c>
    </row>
    <row r="134" spans="1:50" x14ac:dyDescent="0.3">
      <c r="A134" s="11">
        <v>22</v>
      </c>
      <c r="B134" s="11">
        <v>6</v>
      </c>
      <c r="C134" s="15">
        <v>0</v>
      </c>
      <c r="D134" s="15">
        <v>1</v>
      </c>
      <c r="E134" s="15">
        <v>0</v>
      </c>
      <c r="F134" s="15">
        <v>0</v>
      </c>
      <c r="G134" s="15">
        <v>0</v>
      </c>
      <c r="H134" s="15">
        <v>0</v>
      </c>
      <c r="I134" s="15">
        <v>0</v>
      </c>
      <c r="J134" s="15">
        <v>0</v>
      </c>
      <c r="K134" s="15">
        <v>0</v>
      </c>
      <c r="L134" s="15">
        <v>0</v>
      </c>
      <c r="M134" s="15">
        <v>0</v>
      </c>
      <c r="N134" s="15">
        <v>0</v>
      </c>
      <c r="O134" s="20">
        <v>0</v>
      </c>
      <c r="P134" s="20">
        <v>0</v>
      </c>
      <c r="Q134" s="20">
        <v>1</v>
      </c>
      <c r="R134" s="20">
        <v>0</v>
      </c>
      <c r="S134" s="20">
        <v>0</v>
      </c>
      <c r="T134" s="20">
        <v>0</v>
      </c>
      <c r="U134" s="20">
        <v>0</v>
      </c>
      <c r="V134" s="20">
        <v>1</v>
      </c>
      <c r="W134" s="20">
        <v>0</v>
      </c>
      <c r="X134" s="20">
        <v>1</v>
      </c>
      <c r="Y134" s="20">
        <v>0</v>
      </c>
      <c r="Z134" s="20">
        <v>0</v>
      </c>
      <c r="AA134" s="15">
        <v>0</v>
      </c>
      <c r="AB134" s="15">
        <v>0</v>
      </c>
      <c r="AC134" s="15">
        <v>0</v>
      </c>
      <c r="AD134" s="15">
        <v>1</v>
      </c>
      <c r="AE134" s="15">
        <v>0</v>
      </c>
      <c r="AF134" s="15">
        <v>0</v>
      </c>
      <c r="AG134" s="15">
        <v>1</v>
      </c>
      <c r="AH134" s="15">
        <v>0</v>
      </c>
      <c r="AI134" s="15">
        <v>0</v>
      </c>
      <c r="AJ134" s="15">
        <v>0</v>
      </c>
      <c r="AK134" s="15">
        <v>0</v>
      </c>
      <c r="AL134" s="15">
        <v>1</v>
      </c>
      <c r="AM134" s="20">
        <v>1</v>
      </c>
      <c r="AN134" s="20">
        <v>0</v>
      </c>
      <c r="AO134" s="20">
        <v>0</v>
      </c>
      <c r="AP134" s="20">
        <v>0</v>
      </c>
      <c r="AQ134" s="20">
        <v>0</v>
      </c>
      <c r="AR134" s="20">
        <v>0</v>
      </c>
      <c r="AS134" s="20">
        <v>0</v>
      </c>
      <c r="AT134" s="20">
        <v>0</v>
      </c>
      <c r="AU134" s="20">
        <v>0</v>
      </c>
      <c r="AV134" s="20">
        <v>0</v>
      </c>
      <c r="AW134" s="20">
        <v>0</v>
      </c>
      <c r="AX134" s="20">
        <v>0</v>
      </c>
    </row>
    <row r="135" spans="1:50" x14ac:dyDescent="0.3">
      <c r="A135" s="11">
        <v>23</v>
      </c>
      <c r="B135" s="11">
        <v>1</v>
      </c>
      <c r="C135" s="15">
        <v>0</v>
      </c>
      <c r="D135" s="15">
        <v>1</v>
      </c>
      <c r="E135" s="15">
        <v>0</v>
      </c>
      <c r="F135" s="15">
        <v>0</v>
      </c>
      <c r="G135" s="15">
        <v>1</v>
      </c>
      <c r="H135" s="15">
        <v>0</v>
      </c>
      <c r="I135" s="15">
        <v>0</v>
      </c>
      <c r="J135" s="15">
        <v>1</v>
      </c>
      <c r="K135" s="15">
        <v>0</v>
      </c>
      <c r="L135" s="15">
        <v>0</v>
      </c>
      <c r="M135" s="15">
        <v>0</v>
      </c>
      <c r="N135" s="15">
        <v>1</v>
      </c>
      <c r="O135" s="20">
        <v>0</v>
      </c>
      <c r="P135" s="20">
        <v>1</v>
      </c>
      <c r="Q135" s="20">
        <v>0</v>
      </c>
      <c r="R135" s="20">
        <v>0</v>
      </c>
      <c r="S135" s="20">
        <v>0</v>
      </c>
      <c r="T135" s="20">
        <v>1</v>
      </c>
      <c r="U135" s="20">
        <v>1</v>
      </c>
      <c r="V135" s="20">
        <v>0</v>
      </c>
      <c r="W135" s="20">
        <v>0</v>
      </c>
      <c r="X135" s="20">
        <v>1</v>
      </c>
      <c r="Y135" s="20">
        <v>0</v>
      </c>
      <c r="Z135" s="20">
        <v>0</v>
      </c>
      <c r="AA135" s="15">
        <v>0</v>
      </c>
      <c r="AB135" s="15">
        <v>1</v>
      </c>
      <c r="AC135" s="15">
        <v>0</v>
      </c>
      <c r="AD135" s="15">
        <v>0</v>
      </c>
      <c r="AE135" s="15">
        <v>0</v>
      </c>
      <c r="AF135" s="15">
        <v>0</v>
      </c>
      <c r="AG135" s="15">
        <v>0</v>
      </c>
      <c r="AH135" s="15">
        <v>0</v>
      </c>
      <c r="AI135" s="15">
        <v>0</v>
      </c>
      <c r="AJ135" s="15">
        <v>0</v>
      </c>
      <c r="AK135" s="15">
        <v>0</v>
      </c>
      <c r="AL135" s="15">
        <v>0</v>
      </c>
      <c r="AM135" s="20">
        <v>1</v>
      </c>
      <c r="AN135" s="20">
        <v>0</v>
      </c>
      <c r="AO135" s="20">
        <v>0</v>
      </c>
      <c r="AP135" s="20">
        <v>0</v>
      </c>
      <c r="AQ135" s="20">
        <v>0</v>
      </c>
      <c r="AR135" s="20">
        <v>0</v>
      </c>
      <c r="AS135" s="20">
        <v>0</v>
      </c>
      <c r="AT135" s="20">
        <v>0</v>
      </c>
      <c r="AU135" s="20">
        <v>0</v>
      </c>
      <c r="AV135" s="20">
        <v>0</v>
      </c>
      <c r="AW135" s="20">
        <v>0</v>
      </c>
      <c r="AX135" s="20">
        <v>0</v>
      </c>
    </row>
    <row r="136" spans="1:50" x14ac:dyDescent="0.3">
      <c r="A136" s="11">
        <v>23</v>
      </c>
      <c r="B136" s="11">
        <v>2</v>
      </c>
      <c r="C136" s="15">
        <v>0</v>
      </c>
      <c r="D136" s="15">
        <v>0</v>
      </c>
      <c r="E136" s="15">
        <v>1</v>
      </c>
      <c r="F136" s="15">
        <v>0</v>
      </c>
      <c r="G136" s="15">
        <v>0</v>
      </c>
      <c r="H136" s="15">
        <v>1</v>
      </c>
      <c r="I136" s="15">
        <v>0</v>
      </c>
      <c r="J136" s="15">
        <v>0</v>
      </c>
      <c r="K136" s="15">
        <v>1</v>
      </c>
      <c r="L136" s="15">
        <v>0</v>
      </c>
      <c r="M136" s="15">
        <v>0</v>
      </c>
      <c r="N136" s="15">
        <v>0</v>
      </c>
      <c r="O136" s="20">
        <v>0</v>
      </c>
      <c r="P136" s="20">
        <v>0</v>
      </c>
      <c r="Q136" s="20">
        <v>0</v>
      </c>
      <c r="R136" s="20">
        <v>1</v>
      </c>
      <c r="S136" s="20">
        <v>0</v>
      </c>
      <c r="T136" s="20">
        <v>1</v>
      </c>
      <c r="U136" s="20">
        <v>0</v>
      </c>
      <c r="V136" s="20">
        <v>1</v>
      </c>
      <c r="W136" s="20">
        <v>0</v>
      </c>
      <c r="X136" s="20">
        <v>0</v>
      </c>
      <c r="Y136" s="20">
        <v>1</v>
      </c>
      <c r="Z136" s="20">
        <v>0</v>
      </c>
      <c r="AA136" s="15">
        <v>0</v>
      </c>
      <c r="AB136" s="15">
        <v>0</v>
      </c>
      <c r="AC136" s="15">
        <v>0</v>
      </c>
      <c r="AD136" s="15">
        <v>0</v>
      </c>
      <c r="AE136" s="15">
        <v>0</v>
      </c>
      <c r="AF136" s="15">
        <v>1</v>
      </c>
      <c r="AG136" s="15">
        <v>0</v>
      </c>
      <c r="AH136" s="15">
        <v>0</v>
      </c>
      <c r="AI136" s="15">
        <v>0</v>
      </c>
      <c r="AJ136" s="15">
        <v>0</v>
      </c>
      <c r="AK136" s="15">
        <v>0</v>
      </c>
      <c r="AL136" s="15">
        <v>1</v>
      </c>
      <c r="AM136" s="20">
        <v>1</v>
      </c>
      <c r="AN136" s="20">
        <v>0</v>
      </c>
      <c r="AO136" s="20">
        <v>0</v>
      </c>
      <c r="AP136" s="20">
        <v>0</v>
      </c>
      <c r="AQ136" s="20">
        <v>0</v>
      </c>
      <c r="AR136" s="20">
        <v>0</v>
      </c>
      <c r="AS136" s="20">
        <v>0</v>
      </c>
      <c r="AT136" s="20">
        <v>0</v>
      </c>
      <c r="AU136" s="20">
        <v>0</v>
      </c>
      <c r="AV136" s="20">
        <v>0</v>
      </c>
      <c r="AW136" s="20">
        <v>0</v>
      </c>
      <c r="AX136" s="20">
        <v>0</v>
      </c>
    </row>
    <row r="137" spans="1:50" x14ac:dyDescent="0.3">
      <c r="A137" s="11">
        <v>23</v>
      </c>
      <c r="B137" s="11">
        <v>3</v>
      </c>
      <c r="C137" s="15">
        <v>0</v>
      </c>
      <c r="D137" s="15">
        <v>0</v>
      </c>
      <c r="E137" s="15">
        <v>0</v>
      </c>
      <c r="F137" s="15">
        <v>1</v>
      </c>
      <c r="G137" s="15">
        <v>0</v>
      </c>
      <c r="H137" s="15">
        <v>0</v>
      </c>
      <c r="I137" s="15">
        <v>1</v>
      </c>
      <c r="J137" s="15">
        <v>0</v>
      </c>
      <c r="K137" s="15">
        <v>0</v>
      </c>
      <c r="L137" s="15">
        <v>0</v>
      </c>
      <c r="M137" s="15">
        <v>0</v>
      </c>
      <c r="N137" s="15">
        <v>1</v>
      </c>
      <c r="O137" s="20">
        <v>0</v>
      </c>
      <c r="P137" s="20">
        <v>1</v>
      </c>
      <c r="Q137" s="20">
        <v>0</v>
      </c>
      <c r="R137" s="20">
        <v>0</v>
      </c>
      <c r="S137" s="20">
        <v>1</v>
      </c>
      <c r="T137" s="20">
        <v>0</v>
      </c>
      <c r="U137" s="20">
        <v>0</v>
      </c>
      <c r="V137" s="20">
        <v>1</v>
      </c>
      <c r="W137" s="20">
        <v>0</v>
      </c>
      <c r="X137" s="20">
        <v>0</v>
      </c>
      <c r="Y137" s="20">
        <v>0</v>
      </c>
      <c r="Z137" s="20">
        <v>1</v>
      </c>
      <c r="AA137" s="15">
        <v>0</v>
      </c>
      <c r="AB137" s="15">
        <v>0</v>
      </c>
      <c r="AC137" s="15">
        <v>0</v>
      </c>
      <c r="AD137" s="15">
        <v>0</v>
      </c>
      <c r="AE137" s="15">
        <v>0</v>
      </c>
      <c r="AF137" s="15">
        <v>1</v>
      </c>
      <c r="AG137" s="15">
        <v>0</v>
      </c>
      <c r="AH137" s="15">
        <v>0</v>
      </c>
      <c r="AI137" s="15">
        <v>0</v>
      </c>
      <c r="AJ137" s="15">
        <v>0</v>
      </c>
      <c r="AK137" s="15">
        <v>0</v>
      </c>
      <c r="AL137" s="15">
        <v>1</v>
      </c>
      <c r="AM137" s="20">
        <v>1</v>
      </c>
      <c r="AN137" s="20">
        <v>0</v>
      </c>
      <c r="AO137" s="20">
        <v>0</v>
      </c>
      <c r="AP137" s="20">
        <v>0</v>
      </c>
      <c r="AQ137" s="20">
        <v>0</v>
      </c>
      <c r="AR137" s="20">
        <v>0</v>
      </c>
      <c r="AS137" s="20">
        <v>0</v>
      </c>
      <c r="AT137" s="20">
        <v>0</v>
      </c>
      <c r="AU137" s="20">
        <v>0</v>
      </c>
      <c r="AV137" s="20">
        <v>0</v>
      </c>
      <c r="AW137" s="20">
        <v>0</v>
      </c>
      <c r="AX137" s="20">
        <v>0</v>
      </c>
    </row>
    <row r="138" spans="1:50" x14ac:dyDescent="0.3">
      <c r="A138" s="11">
        <v>23</v>
      </c>
      <c r="B138" s="11">
        <v>4</v>
      </c>
      <c r="C138" s="15">
        <v>0</v>
      </c>
      <c r="D138" s="15">
        <v>0</v>
      </c>
      <c r="E138" s="15">
        <v>0</v>
      </c>
      <c r="F138" s="15">
        <v>1</v>
      </c>
      <c r="G138" s="15">
        <v>1</v>
      </c>
      <c r="H138" s="15">
        <v>0</v>
      </c>
      <c r="I138" s="15">
        <v>0</v>
      </c>
      <c r="J138" s="15">
        <v>0</v>
      </c>
      <c r="K138" s="15">
        <v>1</v>
      </c>
      <c r="L138" s="15">
        <v>1</v>
      </c>
      <c r="M138" s="15">
        <v>0</v>
      </c>
      <c r="N138" s="15">
        <v>0</v>
      </c>
      <c r="O138" s="20">
        <v>0</v>
      </c>
      <c r="P138" s="20">
        <v>0</v>
      </c>
      <c r="Q138" s="20">
        <v>1</v>
      </c>
      <c r="R138" s="20">
        <v>0</v>
      </c>
      <c r="S138" s="20">
        <v>0</v>
      </c>
      <c r="T138" s="20">
        <v>1</v>
      </c>
      <c r="U138" s="20">
        <v>0</v>
      </c>
      <c r="V138" s="20">
        <v>0</v>
      </c>
      <c r="W138" s="20">
        <v>1</v>
      </c>
      <c r="X138" s="20">
        <v>0</v>
      </c>
      <c r="Y138" s="20">
        <v>0</v>
      </c>
      <c r="Z138" s="20">
        <v>0</v>
      </c>
      <c r="AA138" s="15">
        <v>0</v>
      </c>
      <c r="AB138" s="15">
        <v>0</v>
      </c>
      <c r="AC138" s="15">
        <v>0</v>
      </c>
      <c r="AD138" s="15">
        <v>0</v>
      </c>
      <c r="AE138" s="15">
        <v>0</v>
      </c>
      <c r="AF138" s="15">
        <v>0</v>
      </c>
      <c r="AG138" s="15">
        <v>0</v>
      </c>
      <c r="AH138" s="15">
        <v>0</v>
      </c>
      <c r="AI138" s="15">
        <v>1</v>
      </c>
      <c r="AJ138" s="15">
        <v>0</v>
      </c>
      <c r="AK138" s="15">
        <v>1</v>
      </c>
      <c r="AL138" s="15">
        <v>0</v>
      </c>
      <c r="AM138" s="20">
        <v>1</v>
      </c>
      <c r="AN138" s="20">
        <v>0</v>
      </c>
      <c r="AO138" s="20">
        <v>0</v>
      </c>
      <c r="AP138" s="20">
        <v>0</v>
      </c>
      <c r="AQ138" s="20">
        <v>0</v>
      </c>
      <c r="AR138" s="20">
        <v>0</v>
      </c>
      <c r="AS138" s="20">
        <v>0</v>
      </c>
      <c r="AT138" s="20">
        <v>0</v>
      </c>
      <c r="AU138" s="20">
        <v>0</v>
      </c>
      <c r="AV138" s="20">
        <v>0</v>
      </c>
      <c r="AW138" s="20">
        <v>0</v>
      </c>
      <c r="AX138" s="20">
        <v>0</v>
      </c>
    </row>
    <row r="139" spans="1:50" x14ac:dyDescent="0.3">
      <c r="A139" s="11">
        <v>23</v>
      </c>
      <c r="B139" s="11">
        <v>5</v>
      </c>
      <c r="C139" s="15">
        <v>0</v>
      </c>
      <c r="D139" s="15">
        <v>0</v>
      </c>
      <c r="E139" s="15">
        <v>0</v>
      </c>
      <c r="F139" s="15">
        <v>1</v>
      </c>
      <c r="G139" s="15">
        <v>0</v>
      </c>
      <c r="H139" s="15">
        <v>1</v>
      </c>
      <c r="I139" s="15">
        <v>0</v>
      </c>
      <c r="J139" s="15">
        <v>1</v>
      </c>
      <c r="K139" s="15">
        <v>0</v>
      </c>
      <c r="L139" s="15">
        <v>0</v>
      </c>
      <c r="M139" s="15">
        <v>1</v>
      </c>
      <c r="N139" s="15">
        <v>0</v>
      </c>
      <c r="O139" s="20">
        <v>0</v>
      </c>
      <c r="P139" s="20">
        <v>0</v>
      </c>
      <c r="Q139" s="20">
        <v>1</v>
      </c>
      <c r="R139" s="20">
        <v>0</v>
      </c>
      <c r="S139" s="20">
        <v>1</v>
      </c>
      <c r="T139" s="20">
        <v>0</v>
      </c>
      <c r="U139" s="20">
        <v>0</v>
      </c>
      <c r="V139" s="20">
        <v>0</v>
      </c>
      <c r="W139" s="20">
        <v>0</v>
      </c>
      <c r="X139" s="20">
        <v>0</v>
      </c>
      <c r="Y139" s="20">
        <v>1</v>
      </c>
      <c r="Z139" s="20">
        <v>0</v>
      </c>
      <c r="AA139" s="15">
        <v>0</v>
      </c>
      <c r="AB139" s="15">
        <v>0</v>
      </c>
      <c r="AC139" s="15">
        <v>0</v>
      </c>
      <c r="AD139" s="15">
        <v>0</v>
      </c>
      <c r="AE139" s="15">
        <v>0</v>
      </c>
      <c r="AF139" s="15">
        <v>0</v>
      </c>
      <c r="AG139" s="15">
        <v>0</v>
      </c>
      <c r="AH139" s="15">
        <v>0</v>
      </c>
      <c r="AI139" s="15">
        <v>1</v>
      </c>
      <c r="AJ139" s="15">
        <v>0</v>
      </c>
      <c r="AK139" s="15">
        <v>1</v>
      </c>
      <c r="AL139" s="15">
        <v>0</v>
      </c>
      <c r="AM139" s="20">
        <v>1</v>
      </c>
      <c r="AN139" s="20">
        <v>0</v>
      </c>
      <c r="AO139" s="20">
        <v>0</v>
      </c>
      <c r="AP139" s="20">
        <v>0</v>
      </c>
      <c r="AQ139" s="20">
        <v>0</v>
      </c>
      <c r="AR139" s="20">
        <v>0</v>
      </c>
      <c r="AS139" s="20">
        <v>0</v>
      </c>
      <c r="AT139" s="20">
        <v>0</v>
      </c>
      <c r="AU139" s="20">
        <v>0</v>
      </c>
      <c r="AV139" s="20">
        <v>0</v>
      </c>
      <c r="AW139" s="20">
        <v>0</v>
      </c>
      <c r="AX139" s="20">
        <v>0</v>
      </c>
    </row>
    <row r="140" spans="1:50" x14ac:dyDescent="0.3">
      <c r="A140" s="11">
        <v>23</v>
      </c>
      <c r="B140" s="11">
        <v>6</v>
      </c>
      <c r="C140" s="15">
        <v>0</v>
      </c>
      <c r="D140" s="15">
        <v>1</v>
      </c>
      <c r="E140" s="15">
        <v>0</v>
      </c>
      <c r="F140" s="15">
        <v>0</v>
      </c>
      <c r="G140" s="15">
        <v>0</v>
      </c>
      <c r="H140" s="15">
        <v>0</v>
      </c>
      <c r="I140" s="15">
        <v>0</v>
      </c>
      <c r="J140" s="15">
        <v>0</v>
      </c>
      <c r="K140" s="15">
        <v>0</v>
      </c>
      <c r="L140" s="15">
        <v>0</v>
      </c>
      <c r="M140" s="15">
        <v>0</v>
      </c>
      <c r="N140" s="15">
        <v>0</v>
      </c>
      <c r="O140" s="20">
        <v>0</v>
      </c>
      <c r="P140" s="20">
        <v>0</v>
      </c>
      <c r="Q140" s="20">
        <v>1</v>
      </c>
      <c r="R140" s="20">
        <v>0</v>
      </c>
      <c r="S140" s="20">
        <v>0</v>
      </c>
      <c r="T140" s="20">
        <v>0</v>
      </c>
      <c r="U140" s="20">
        <v>0</v>
      </c>
      <c r="V140" s="20">
        <v>1</v>
      </c>
      <c r="W140" s="20">
        <v>0</v>
      </c>
      <c r="X140" s="20">
        <v>1</v>
      </c>
      <c r="Y140" s="20">
        <v>0</v>
      </c>
      <c r="Z140" s="20">
        <v>0</v>
      </c>
      <c r="AA140" s="15">
        <v>0</v>
      </c>
      <c r="AB140" s="15">
        <v>0</v>
      </c>
      <c r="AC140" s="15">
        <v>0</v>
      </c>
      <c r="AD140" s="15">
        <v>1</v>
      </c>
      <c r="AE140" s="15">
        <v>0</v>
      </c>
      <c r="AF140" s="15">
        <v>0</v>
      </c>
      <c r="AG140" s="15">
        <v>1</v>
      </c>
      <c r="AH140" s="15">
        <v>0</v>
      </c>
      <c r="AI140" s="15">
        <v>0</v>
      </c>
      <c r="AJ140" s="15">
        <v>0</v>
      </c>
      <c r="AK140" s="15">
        <v>0</v>
      </c>
      <c r="AL140" s="15">
        <v>1</v>
      </c>
      <c r="AM140" s="20">
        <v>1</v>
      </c>
      <c r="AN140" s="20">
        <v>0</v>
      </c>
      <c r="AO140" s="20">
        <v>0</v>
      </c>
      <c r="AP140" s="20">
        <v>0</v>
      </c>
      <c r="AQ140" s="20">
        <v>0</v>
      </c>
      <c r="AR140" s="20">
        <v>0</v>
      </c>
      <c r="AS140" s="20">
        <v>0</v>
      </c>
      <c r="AT140" s="20">
        <v>0</v>
      </c>
      <c r="AU140" s="20">
        <v>0</v>
      </c>
      <c r="AV140" s="20">
        <v>0</v>
      </c>
      <c r="AW140" s="20">
        <v>0</v>
      </c>
      <c r="AX140" s="20">
        <v>0</v>
      </c>
    </row>
    <row r="141" spans="1:50" x14ac:dyDescent="0.3">
      <c r="A141" s="11">
        <v>24</v>
      </c>
      <c r="B141" s="11">
        <v>1</v>
      </c>
      <c r="C141" s="15">
        <v>0</v>
      </c>
      <c r="D141" s="15">
        <v>1</v>
      </c>
      <c r="E141" s="15">
        <v>0</v>
      </c>
      <c r="F141" s="15">
        <v>0</v>
      </c>
      <c r="G141" s="15">
        <v>1</v>
      </c>
      <c r="H141" s="15">
        <v>0</v>
      </c>
      <c r="I141" s="15">
        <v>0</v>
      </c>
      <c r="J141" s="15">
        <v>1</v>
      </c>
      <c r="K141" s="15">
        <v>0</v>
      </c>
      <c r="L141" s="15">
        <v>0</v>
      </c>
      <c r="M141" s="15">
        <v>0</v>
      </c>
      <c r="N141" s="15">
        <v>1</v>
      </c>
      <c r="O141" s="20">
        <v>0</v>
      </c>
      <c r="P141" s="20">
        <v>1</v>
      </c>
      <c r="Q141" s="20">
        <v>0</v>
      </c>
      <c r="R141" s="20">
        <v>0</v>
      </c>
      <c r="S141" s="20">
        <v>0</v>
      </c>
      <c r="T141" s="20">
        <v>1</v>
      </c>
      <c r="U141" s="20">
        <v>1</v>
      </c>
      <c r="V141" s="20">
        <v>0</v>
      </c>
      <c r="W141" s="20">
        <v>0</v>
      </c>
      <c r="X141" s="20">
        <v>1</v>
      </c>
      <c r="Y141" s="20">
        <v>0</v>
      </c>
      <c r="Z141" s="20">
        <v>0</v>
      </c>
      <c r="AA141" s="15">
        <v>0</v>
      </c>
      <c r="AB141" s="15">
        <v>1</v>
      </c>
      <c r="AC141" s="15">
        <v>0</v>
      </c>
      <c r="AD141" s="15">
        <v>0</v>
      </c>
      <c r="AE141" s="15">
        <v>0</v>
      </c>
      <c r="AF141" s="15">
        <v>0</v>
      </c>
      <c r="AG141" s="15">
        <v>0</v>
      </c>
      <c r="AH141" s="15">
        <v>0</v>
      </c>
      <c r="AI141" s="15">
        <v>0</v>
      </c>
      <c r="AJ141" s="15">
        <v>0</v>
      </c>
      <c r="AK141" s="15">
        <v>0</v>
      </c>
      <c r="AL141" s="15">
        <v>0</v>
      </c>
      <c r="AM141" s="20">
        <v>1</v>
      </c>
      <c r="AN141" s="20">
        <v>0</v>
      </c>
      <c r="AO141" s="20">
        <v>0</v>
      </c>
      <c r="AP141" s="20">
        <v>0</v>
      </c>
      <c r="AQ141" s="20">
        <v>0</v>
      </c>
      <c r="AR141" s="20">
        <v>0</v>
      </c>
      <c r="AS141" s="20">
        <v>0</v>
      </c>
      <c r="AT141" s="20">
        <v>0</v>
      </c>
      <c r="AU141" s="20">
        <v>0</v>
      </c>
      <c r="AV141" s="20">
        <v>0</v>
      </c>
      <c r="AW141" s="20">
        <v>0</v>
      </c>
      <c r="AX141" s="20">
        <v>0</v>
      </c>
    </row>
    <row r="142" spans="1:50" x14ac:dyDescent="0.3">
      <c r="A142" s="11">
        <v>24</v>
      </c>
      <c r="B142" s="11">
        <v>2</v>
      </c>
      <c r="C142" s="15">
        <v>0</v>
      </c>
      <c r="D142" s="15">
        <v>0</v>
      </c>
      <c r="E142" s="15">
        <v>1</v>
      </c>
      <c r="F142" s="15">
        <v>0</v>
      </c>
      <c r="G142" s="15">
        <v>0</v>
      </c>
      <c r="H142" s="15">
        <v>1</v>
      </c>
      <c r="I142" s="15">
        <v>0</v>
      </c>
      <c r="J142" s="15">
        <v>0</v>
      </c>
      <c r="K142" s="15">
        <v>1</v>
      </c>
      <c r="L142" s="15">
        <v>0</v>
      </c>
      <c r="M142" s="15">
        <v>0</v>
      </c>
      <c r="N142" s="15">
        <v>0</v>
      </c>
      <c r="O142" s="20">
        <v>0</v>
      </c>
      <c r="P142" s="20">
        <v>0</v>
      </c>
      <c r="Q142" s="20">
        <v>0</v>
      </c>
      <c r="R142" s="20">
        <v>1</v>
      </c>
      <c r="S142" s="20">
        <v>0</v>
      </c>
      <c r="T142" s="20">
        <v>1</v>
      </c>
      <c r="U142" s="20">
        <v>0</v>
      </c>
      <c r="V142" s="20">
        <v>1</v>
      </c>
      <c r="W142" s="20">
        <v>0</v>
      </c>
      <c r="X142" s="20">
        <v>0</v>
      </c>
      <c r="Y142" s="20">
        <v>1</v>
      </c>
      <c r="Z142" s="20">
        <v>0</v>
      </c>
      <c r="AA142" s="15">
        <v>0</v>
      </c>
      <c r="AB142" s="15">
        <v>0</v>
      </c>
      <c r="AC142" s="15">
        <v>0</v>
      </c>
      <c r="AD142" s="15">
        <v>0</v>
      </c>
      <c r="AE142" s="15">
        <v>0</v>
      </c>
      <c r="AF142" s="15">
        <v>1</v>
      </c>
      <c r="AG142" s="15">
        <v>0</v>
      </c>
      <c r="AH142" s="15">
        <v>0</v>
      </c>
      <c r="AI142" s="15">
        <v>0</v>
      </c>
      <c r="AJ142" s="15">
        <v>0</v>
      </c>
      <c r="AK142" s="15">
        <v>0</v>
      </c>
      <c r="AL142" s="15">
        <v>1</v>
      </c>
      <c r="AM142" s="20">
        <v>1</v>
      </c>
      <c r="AN142" s="20">
        <v>0</v>
      </c>
      <c r="AO142" s="20">
        <v>0</v>
      </c>
      <c r="AP142" s="20">
        <v>0</v>
      </c>
      <c r="AQ142" s="20">
        <v>0</v>
      </c>
      <c r="AR142" s="20">
        <v>0</v>
      </c>
      <c r="AS142" s="20">
        <v>0</v>
      </c>
      <c r="AT142" s="20">
        <v>0</v>
      </c>
      <c r="AU142" s="20">
        <v>0</v>
      </c>
      <c r="AV142" s="20">
        <v>0</v>
      </c>
      <c r="AW142" s="20">
        <v>0</v>
      </c>
      <c r="AX142" s="20">
        <v>0</v>
      </c>
    </row>
    <row r="143" spans="1:50" x14ac:dyDescent="0.3">
      <c r="A143" s="11">
        <v>24</v>
      </c>
      <c r="B143" s="11">
        <v>3</v>
      </c>
      <c r="C143" s="15">
        <v>0</v>
      </c>
      <c r="D143" s="15">
        <v>0</v>
      </c>
      <c r="E143" s="15">
        <v>0</v>
      </c>
      <c r="F143" s="15">
        <v>1</v>
      </c>
      <c r="G143" s="15">
        <v>0</v>
      </c>
      <c r="H143" s="15">
        <v>0</v>
      </c>
      <c r="I143" s="15">
        <v>1</v>
      </c>
      <c r="J143" s="15">
        <v>0</v>
      </c>
      <c r="K143" s="15">
        <v>0</v>
      </c>
      <c r="L143" s="15">
        <v>0</v>
      </c>
      <c r="M143" s="15">
        <v>0</v>
      </c>
      <c r="N143" s="15">
        <v>1</v>
      </c>
      <c r="O143" s="20">
        <v>0</v>
      </c>
      <c r="P143" s="20">
        <v>1</v>
      </c>
      <c r="Q143" s="20">
        <v>0</v>
      </c>
      <c r="R143" s="20">
        <v>0</v>
      </c>
      <c r="S143" s="20">
        <v>1</v>
      </c>
      <c r="T143" s="20">
        <v>0</v>
      </c>
      <c r="U143" s="20">
        <v>0</v>
      </c>
      <c r="V143" s="20">
        <v>1</v>
      </c>
      <c r="W143" s="20">
        <v>0</v>
      </c>
      <c r="X143" s="20">
        <v>0</v>
      </c>
      <c r="Y143" s="20">
        <v>0</v>
      </c>
      <c r="Z143" s="20">
        <v>1</v>
      </c>
      <c r="AA143" s="15">
        <v>0</v>
      </c>
      <c r="AB143" s="15">
        <v>0</v>
      </c>
      <c r="AC143" s="15">
        <v>0</v>
      </c>
      <c r="AD143" s="15">
        <v>0</v>
      </c>
      <c r="AE143" s="15">
        <v>0</v>
      </c>
      <c r="AF143" s="15">
        <v>1</v>
      </c>
      <c r="AG143" s="15">
        <v>0</v>
      </c>
      <c r="AH143" s="15">
        <v>0</v>
      </c>
      <c r="AI143" s="15">
        <v>0</v>
      </c>
      <c r="AJ143" s="15">
        <v>0</v>
      </c>
      <c r="AK143" s="15">
        <v>0</v>
      </c>
      <c r="AL143" s="15">
        <v>1</v>
      </c>
      <c r="AM143" s="20">
        <v>1</v>
      </c>
      <c r="AN143" s="20">
        <v>0</v>
      </c>
      <c r="AO143" s="20">
        <v>0</v>
      </c>
      <c r="AP143" s="20">
        <v>0</v>
      </c>
      <c r="AQ143" s="20">
        <v>0</v>
      </c>
      <c r="AR143" s="20">
        <v>0</v>
      </c>
      <c r="AS143" s="20">
        <v>0</v>
      </c>
      <c r="AT143" s="20">
        <v>0</v>
      </c>
      <c r="AU143" s="20">
        <v>0</v>
      </c>
      <c r="AV143" s="20">
        <v>0</v>
      </c>
      <c r="AW143" s="20">
        <v>0</v>
      </c>
      <c r="AX143" s="20">
        <v>0</v>
      </c>
    </row>
    <row r="144" spans="1:50" x14ac:dyDescent="0.3">
      <c r="A144" s="11">
        <v>24</v>
      </c>
      <c r="B144" s="11">
        <v>4</v>
      </c>
      <c r="C144" s="15">
        <v>0</v>
      </c>
      <c r="D144" s="15">
        <v>0</v>
      </c>
      <c r="E144" s="15">
        <v>0</v>
      </c>
      <c r="F144" s="15">
        <v>1</v>
      </c>
      <c r="G144" s="15">
        <v>1</v>
      </c>
      <c r="H144" s="15">
        <v>0</v>
      </c>
      <c r="I144" s="15">
        <v>0</v>
      </c>
      <c r="J144" s="15">
        <v>0</v>
      </c>
      <c r="K144" s="15">
        <v>1</v>
      </c>
      <c r="L144" s="15">
        <v>1</v>
      </c>
      <c r="M144" s="15">
        <v>0</v>
      </c>
      <c r="N144" s="15">
        <v>0</v>
      </c>
      <c r="O144" s="20">
        <v>0</v>
      </c>
      <c r="P144" s="20">
        <v>0</v>
      </c>
      <c r="Q144" s="20">
        <v>1</v>
      </c>
      <c r="R144" s="20">
        <v>0</v>
      </c>
      <c r="S144" s="20">
        <v>0</v>
      </c>
      <c r="T144" s="20">
        <v>1</v>
      </c>
      <c r="U144" s="20">
        <v>0</v>
      </c>
      <c r="V144" s="20">
        <v>0</v>
      </c>
      <c r="W144" s="20">
        <v>1</v>
      </c>
      <c r="X144" s="20">
        <v>0</v>
      </c>
      <c r="Y144" s="20">
        <v>0</v>
      </c>
      <c r="Z144" s="20">
        <v>0</v>
      </c>
      <c r="AA144" s="15">
        <v>0</v>
      </c>
      <c r="AB144" s="15">
        <v>0</v>
      </c>
      <c r="AC144" s="15">
        <v>0</v>
      </c>
      <c r="AD144" s="15">
        <v>0</v>
      </c>
      <c r="AE144" s="15">
        <v>0</v>
      </c>
      <c r="AF144" s="15">
        <v>0</v>
      </c>
      <c r="AG144" s="15">
        <v>0</v>
      </c>
      <c r="AH144" s="15">
        <v>0</v>
      </c>
      <c r="AI144" s="15">
        <v>1</v>
      </c>
      <c r="AJ144" s="15">
        <v>0</v>
      </c>
      <c r="AK144" s="15">
        <v>1</v>
      </c>
      <c r="AL144" s="15">
        <v>0</v>
      </c>
      <c r="AM144" s="20">
        <v>1</v>
      </c>
      <c r="AN144" s="20">
        <v>0</v>
      </c>
      <c r="AO144" s="20">
        <v>0</v>
      </c>
      <c r="AP144" s="20">
        <v>0</v>
      </c>
      <c r="AQ144" s="20">
        <v>0</v>
      </c>
      <c r="AR144" s="20">
        <v>0</v>
      </c>
      <c r="AS144" s="20">
        <v>0</v>
      </c>
      <c r="AT144" s="20">
        <v>0</v>
      </c>
      <c r="AU144" s="20">
        <v>0</v>
      </c>
      <c r="AV144" s="20">
        <v>0</v>
      </c>
      <c r="AW144" s="20">
        <v>0</v>
      </c>
      <c r="AX144" s="20">
        <v>0</v>
      </c>
    </row>
    <row r="145" spans="1:50" x14ac:dyDescent="0.3">
      <c r="A145" s="11">
        <v>24</v>
      </c>
      <c r="B145" s="11">
        <v>5</v>
      </c>
      <c r="C145" s="15">
        <v>0</v>
      </c>
      <c r="D145" s="15">
        <v>0</v>
      </c>
      <c r="E145" s="15">
        <v>0</v>
      </c>
      <c r="F145" s="15">
        <v>1</v>
      </c>
      <c r="G145" s="15">
        <v>0</v>
      </c>
      <c r="H145" s="15">
        <v>1</v>
      </c>
      <c r="I145" s="15">
        <v>0</v>
      </c>
      <c r="J145" s="15">
        <v>1</v>
      </c>
      <c r="K145" s="15">
        <v>0</v>
      </c>
      <c r="L145" s="15">
        <v>0</v>
      </c>
      <c r="M145" s="15">
        <v>1</v>
      </c>
      <c r="N145" s="15">
        <v>0</v>
      </c>
      <c r="O145" s="20">
        <v>0</v>
      </c>
      <c r="P145" s="20">
        <v>0</v>
      </c>
      <c r="Q145" s="20">
        <v>1</v>
      </c>
      <c r="R145" s="20">
        <v>0</v>
      </c>
      <c r="S145" s="20">
        <v>1</v>
      </c>
      <c r="T145" s="20">
        <v>0</v>
      </c>
      <c r="U145" s="20">
        <v>0</v>
      </c>
      <c r="V145" s="20">
        <v>0</v>
      </c>
      <c r="W145" s="20">
        <v>0</v>
      </c>
      <c r="X145" s="20">
        <v>0</v>
      </c>
      <c r="Y145" s="20">
        <v>1</v>
      </c>
      <c r="Z145" s="20">
        <v>0</v>
      </c>
      <c r="AA145" s="15">
        <v>0</v>
      </c>
      <c r="AB145" s="15">
        <v>0</v>
      </c>
      <c r="AC145" s="15">
        <v>0</v>
      </c>
      <c r="AD145" s="15">
        <v>0</v>
      </c>
      <c r="AE145" s="15">
        <v>0</v>
      </c>
      <c r="AF145" s="15">
        <v>0</v>
      </c>
      <c r="AG145" s="15">
        <v>0</v>
      </c>
      <c r="AH145" s="15">
        <v>0</v>
      </c>
      <c r="AI145" s="15">
        <v>1</v>
      </c>
      <c r="AJ145" s="15">
        <v>0</v>
      </c>
      <c r="AK145" s="15">
        <v>1</v>
      </c>
      <c r="AL145" s="15">
        <v>0</v>
      </c>
      <c r="AM145" s="20">
        <v>1</v>
      </c>
      <c r="AN145" s="20">
        <v>0</v>
      </c>
      <c r="AO145" s="20">
        <v>0</v>
      </c>
      <c r="AP145" s="20">
        <v>0</v>
      </c>
      <c r="AQ145" s="20">
        <v>0</v>
      </c>
      <c r="AR145" s="20">
        <v>0</v>
      </c>
      <c r="AS145" s="20">
        <v>0</v>
      </c>
      <c r="AT145" s="20">
        <v>0</v>
      </c>
      <c r="AU145" s="20">
        <v>0</v>
      </c>
      <c r="AV145" s="20">
        <v>0</v>
      </c>
      <c r="AW145" s="20">
        <v>0</v>
      </c>
      <c r="AX145" s="20">
        <v>0</v>
      </c>
    </row>
    <row r="146" spans="1:50" x14ac:dyDescent="0.3">
      <c r="A146" s="11">
        <v>24</v>
      </c>
      <c r="B146" s="11">
        <v>6</v>
      </c>
      <c r="C146" s="15">
        <v>0</v>
      </c>
      <c r="D146" s="15">
        <v>1</v>
      </c>
      <c r="E146" s="15">
        <v>0</v>
      </c>
      <c r="F146" s="15">
        <v>0</v>
      </c>
      <c r="G146" s="15">
        <v>0</v>
      </c>
      <c r="H146" s="15">
        <v>0</v>
      </c>
      <c r="I146" s="15">
        <v>0</v>
      </c>
      <c r="J146" s="15">
        <v>0</v>
      </c>
      <c r="K146" s="15">
        <v>0</v>
      </c>
      <c r="L146" s="15">
        <v>0</v>
      </c>
      <c r="M146" s="15">
        <v>0</v>
      </c>
      <c r="N146" s="15">
        <v>0</v>
      </c>
      <c r="O146" s="20">
        <v>0</v>
      </c>
      <c r="P146" s="20">
        <v>0</v>
      </c>
      <c r="Q146" s="20">
        <v>1</v>
      </c>
      <c r="R146" s="20">
        <v>0</v>
      </c>
      <c r="S146" s="20">
        <v>0</v>
      </c>
      <c r="T146" s="20">
        <v>0</v>
      </c>
      <c r="U146" s="20">
        <v>0</v>
      </c>
      <c r="V146" s="20">
        <v>1</v>
      </c>
      <c r="W146" s="20">
        <v>0</v>
      </c>
      <c r="X146" s="20">
        <v>1</v>
      </c>
      <c r="Y146" s="20">
        <v>0</v>
      </c>
      <c r="Z146" s="20">
        <v>0</v>
      </c>
      <c r="AA146" s="15">
        <v>0</v>
      </c>
      <c r="AB146" s="15">
        <v>0</v>
      </c>
      <c r="AC146" s="15">
        <v>0</v>
      </c>
      <c r="AD146" s="15">
        <v>1</v>
      </c>
      <c r="AE146" s="15">
        <v>0</v>
      </c>
      <c r="AF146" s="15">
        <v>0</v>
      </c>
      <c r="AG146" s="15">
        <v>1</v>
      </c>
      <c r="AH146" s="15">
        <v>0</v>
      </c>
      <c r="AI146" s="15">
        <v>0</v>
      </c>
      <c r="AJ146" s="15">
        <v>0</v>
      </c>
      <c r="AK146" s="15">
        <v>0</v>
      </c>
      <c r="AL146" s="15">
        <v>1</v>
      </c>
      <c r="AM146" s="20">
        <v>1</v>
      </c>
      <c r="AN146" s="20">
        <v>0</v>
      </c>
      <c r="AO146" s="20">
        <v>0</v>
      </c>
      <c r="AP146" s="20">
        <v>0</v>
      </c>
      <c r="AQ146" s="20">
        <v>0</v>
      </c>
      <c r="AR146" s="20">
        <v>0</v>
      </c>
      <c r="AS146" s="20">
        <v>0</v>
      </c>
      <c r="AT146" s="20">
        <v>0</v>
      </c>
      <c r="AU146" s="20">
        <v>0</v>
      </c>
      <c r="AV146" s="20">
        <v>0</v>
      </c>
      <c r="AW146" s="20">
        <v>0</v>
      </c>
      <c r="AX146" s="20">
        <v>0</v>
      </c>
    </row>
    <row r="147" spans="1:50" x14ac:dyDescent="0.3">
      <c r="A147" s="11">
        <v>25</v>
      </c>
      <c r="B147" s="11">
        <v>1</v>
      </c>
      <c r="C147" s="15">
        <v>0</v>
      </c>
      <c r="D147" s="15">
        <v>1</v>
      </c>
      <c r="E147" s="15">
        <v>0</v>
      </c>
      <c r="F147" s="15">
        <v>0</v>
      </c>
      <c r="G147" s="15">
        <v>1</v>
      </c>
      <c r="H147" s="15">
        <v>0</v>
      </c>
      <c r="I147" s="15">
        <v>0</v>
      </c>
      <c r="J147" s="15">
        <v>1</v>
      </c>
      <c r="K147" s="15">
        <v>0</v>
      </c>
      <c r="L147" s="15">
        <v>0</v>
      </c>
      <c r="M147" s="15">
        <v>0</v>
      </c>
      <c r="N147" s="15">
        <v>1</v>
      </c>
      <c r="O147" s="20">
        <v>0</v>
      </c>
      <c r="P147" s="20">
        <v>1</v>
      </c>
      <c r="Q147" s="20">
        <v>0</v>
      </c>
      <c r="R147" s="20">
        <v>0</v>
      </c>
      <c r="S147" s="20">
        <v>0</v>
      </c>
      <c r="T147" s="20">
        <v>1</v>
      </c>
      <c r="U147" s="20">
        <v>1</v>
      </c>
      <c r="V147" s="20">
        <v>0</v>
      </c>
      <c r="W147" s="20">
        <v>0</v>
      </c>
      <c r="X147" s="20">
        <v>1</v>
      </c>
      <c r="Y147" s="20">
        <v>0</v>
      </c>
      <c r="Z147" s="20">
        <v>0</v>
      </c>
      <c r="AA147" s="15">
        <v>0</v>
      </c>
      <c r="AB147" s="15">
        <v>1</v>
      </c>
      <c r="AC147" s="15">
        <v>0</v>
      </c>
      <c r="AD147" s="15">
        <v>0</v>
      </c>
      <c r="AE147" s="15">
        <v>0</v>
      </c>
      <c r="AF147" s="15">
        <v>0</v>
      </c>
      <c r="AG147" s="15">
        <v>0</v>
      </c>
      <c r="AH147" s="15">
        <v>0</v>
      </c>
      <c r="AI147" s="15">
        <v>0</v>
      </c>
      <c r="AJ147" s="15">
        <v>0</v>
      </c>
      <c r="AK147" s="15">
        <v>0</v>
      </c>
      <c r="AL147" s="15">
        <v>0</v>
      </c>
      <c r="AM147" s="20">
        <v>1</v>
      </c>
      <c r="AN147" s="20">
        <v>0</v>
      </c>
      <c r="AO147" s="20">
        <v>0</v>
      </c>
      <c r="AP147" s="20">
        <v>0</v>
      </c>
      <c r="AQ147" s="20">
        <v>0</v>
      </c>
      <c r="AR147" s="20">
        <v>0</v>
      </c>
      <c r="AS147" s="20">
        <v>0</v>
      </c>
      <c r="AT147" s="20">
        <v>0</v>
      </c>
      <c r="AU147" s="20">
        <v>0</v>
      </c>
      <c r="AV147" s="20">
        <v>0</v>
      </c>
      <c r="AW147" s="20">
        <v>0</v>
      </c>
      <c r="AX147" s="20">
        <v>0</v>
      </c>
    </row>
    <row r="148" spans="1:50" x14ac:dyDescent="0.3">
      <c r="A148" s="11">
        <v>25</v>
      </c>
      <c r="B148" s="11">
        <v>2</v>
      </c>
      <c r="C148" s="15">
        <v>0</v>
      </c>
      <c r="D148" s="15">
        <v>0</v>
      </c>
      <c r="E148" s="15">
        <v>1</v>
      </c>
      <c r="F148" s="15">
        <v>0</v>
      </c>
      <c r="G148" s="15">
        <v>0</v>
      </c>
      <c r="H148" s="15">
        <v>1</v>
      </c>
      <c r="I148" s="15">
        <v>0</v>
      </c>
      <c r="J148" s="15">
        <v>0</v>
      </c>
      <c r="K148" s="15">
        <v>1</v>
      </c>
      <c r="L148" s="15">
        <v>0</v>
      </c>
      <c r="M148" s="15">
        <v>0</v>
      </c>
      <c r="N148" s="15">
        <v>0</v>
      </c>
      <c r="O148" s="20">
        <v>0</v>
      </c>
      <c r="P148" s="20">
        <v>0</v>
      </c>
      <c r="Q148" s="20">
        <v>0</v>
      </c>
      <c r="R148" s="20">
        <v>1</v>
      </c>
      <c r="S148" s="20">
        <v>0</v>
      </c>
      <c r="T148" s="20">
        <v>1</v>
      </c>
      <c r="U148" s="20">
        <v>0</v>
      </c>
      <c r="V148" s="20">
        <v>1</v>
      </c>
      <c r="W148" s="20">
        <v>0</v>
      </c>
      <c r="X148" s="20">
        <v>0</v>
      </c>
      <c r="Y148" s="20">
        <v>1</v>
      </c>
      <c r="Z148" s="20">
        <v>0</v>
      </c>
      <c r="AA148" s="15">
        <v>0</v>
      </c>
      <c r="AB148" s="15">
        <v>0</v>
      </c>
      <c r="AC148" s="15">
        <v>0</v>
      </c>
      <c r="AD148" s="15">
        <v>0</v>
      </c>
      <c r="AE148" s="15">
        <v>0</v>
      </c>
      <c r="AF148" s="15">
        <v>1</v>
      </c>
      <c r="AG148" s="15">
        <v>0</v>
      </c>
      <c r="AH148" s="15">
        <v>0</v>
      </c>
      <c r="AI148" s="15">
        <v>0</v>
      </c>
      <c r="AJ148" s="15">
        <v>0</v>
      </c>
      <c r="AK148" s="15">
        <v>0</v>
      </c>
      <c r="AL148" s="15">
        <v>1</v>
      </c>
      <c r="AM148" s="20">
        <v>1</v>
      </c>
      <c r="AN148" s="20">
        <v>0</v>
      </c>
      <c r="AO148" s="20">
        <v>0</v>
      </c>
      <c r="AP148" s="20">
        <v>0</v>
      </c>
      <c r="AQ148" s="20">
        <v>0</v>
      </c>
      <c r="AR148" s="20">
        <v>0</v>
      </c>
      <c r="AS148" s="20">
        <v>0</v>
      </c>
      <c r="AT148" s="20">
        <v>0</v>
      </c>
      <c r="AU148" s="20">
        <v>0</v>
      </c>
      <c r="AV148" s="20">
        <v>0</v>
      </c>
      <c r="AW148" s="20">
        <v>0</v>
      </c>
      <c r="AX148" s="20">
        <v>0</v>
      </c>
    </row>
    <row r="149" spans="1:50" x14ac:dyDescent="0.3">
      <c r="A149" s="11">
        <v>25</v>
      </c>
      <c r="B149" s="11">
        <v>3</v>
      </c>
      <c r="C149" s="15">
        <v>0</v>
      </c>
      <c r="D149" s="15">
        <v>0</v>
      </c>
      <c r="E149" s="15">
        <v>0</v>
      </c>
      <c r="F149" s="15">
        <v>1</v>
      </c>
      <c r="G149" s="15">
        <v>0</v>
      </c>
      <c r="H149" s="15">
        <v>0</v>
      </c>
      <c r="I149" s="15">
        <v>1</v>
      </c>
      <c r="J149" s="15">
        <v>0</v>
      </c>
      <c r="K149" s="15">
        <v>0</v>
      </c>
      <c r="L149" s="15">
        <v>0</v>
      </c>
      <c r="M149" s="15">
        <v>0</v>
      </c>
      <c r="N149" s="15">
        <v>1</v>
      </c>
      <c r="O149" s="20">
        <v>0</v>
      </c>
      <c r="P149" s="20">
        <v>1</v>
      </c>
      <c r="Q149" s="20">
        <v>0</v>
      </c>
      <c r="R149" s="20">
        <v>0</v>
      </c>
      <c r="S149" s="20">
        <v>1</v>
      </c>
      <c r="T149" s="20">
        <v>0</v>
      </c>
      <c r="U149" s="20">
        <v>0</v>
      </c>
      <c r="V149" s="20">
        <v>1</v>
      </c>
      <c r="W149" s="20">
        <v>0</v>
      </c>
      <c r="X149" s="20">
        <v>0</v>
      </c>
      <c r="Y149" s="20">
        <v>0</v>
      </c>
      <c r="Z149" s="20">
        <v>1</v>
      </c>
      <c r="AA149" s="15">
        <v>0</v>
      </c>
      <c r="AB149" s="15">
        <v>0</v>
      </c>
      <c r="AC149" s="15">
        <v>0</v>
      </c>
      <c r="AD149" s="15">
        <v>0</v>
      </c>
      <c r="AE149" s="15">
        <v>0</v>
      </c>
      <c r="AF149" s="15">
        <v>1</v>
      </c>
      <c r="AG149" s="15">
        <v>0</v>
      </c>
      <c r="AH149" s="15">
        <v>0</v>
      </c>
      <c r="AI149" s="15">
        <v>0</v>
      </c>
      <c r="AJ149" s="15">
        <v>0</v>
      </c>
      <c r="AK149" s="15">
        <v>0</v>
      </c>
      <c r="AL149" s="15">
        <v>1</v>
      </c>
      <c r="AM149" s="20">
        <v>1</v>
      </c>
      <c r="AN149" s="20">
        <v>0</v>
      </c>
      <c r="AO149" s="20">
        <v>0</v>
      </c>
      <c r="AP149" s="20">
        <v>0</v>
      </c>
      <c r="AQ149" s="20">
        <v>0</v>
      </c>
      <c r="AR149" s="20">
        <v>0</v>
      </c>
      <c r="AS149" s="20">
        <v>0</v>
      </c>
      <c r="AT149" s="20">
        <v>0</v>
      </c>
      <c r="AU149" s="20">
        <v>0</v>
      </c>
      <c r="AV149" s="20">
        <v>0</v>
      </c>
      <c r="AW149" s="20">
        <v>0</v>
      </c>
      <c r="AX149" s="20">
        <v>0</v>
      </c>
    </row>
    <row r="150" spans="1:50" x14ac:dyDescent="0.3">
      <c r="A150" s="11">
        <v>25</v>
      </c>
      <c r="B150" s="11">
        <v>4</v>
      </c>
      <c r="C150" s="15">
        <v>0</v>
      </c>
      <c r="D150" s="15">
        <v>0</v>
      </c>
      <c r="E150" s="15">
        <v>0</v>
      </c>
      <c r="F150" s="15">
        <v>1</v>
      </c>
      <c r="G150" s="15">
        <v>1</v>
      </c>
      <c r="H150" s="15">
        <v>0</v>
      </c>
      <c r="I150" s="15">
        <v>0</v>
      </c>
      <c r="J150" s="15">
        <v>0</v>
      </c>
      <c r="K150" s="15">
        <v>1</v>
      </c>
      <c r="L150" s="15">
        <v>1</v>
      </c>
      <c r="M150" s="15">
        <v>0</v>
      </c>
      <c r="N150" s="15">
        <v>0</v>
      </c>
      <c r="O150" s="20">
        <v>0</v>
      </c>
      <c r="P150" s="20">
        <v>0</v>
      </c>
      <c r="Q150" s="20">
        <v>1</v>
      </c>
      <c r="R150" s="20">
        <v>0</v>
      </c>
      <c r="S150" s="20">
        <v>0</v>
      </c>
      <c r="T150" s="20">
        <v>1</v>
      </c>
      <c r="U150" s="20">
        <v>0</v>
      </c>
      <c r="V150" s="20">
        <v>0</v>
      </c>
      <c r="W150" s="20">
        <v>1</v>
      </c>
      <c r="X150" s="20">
        <v>0</v>
      </c>
      <c r="Y150" s="20">
        <v>0</v>
      </c>
      <c r="Z150" s="20">
        <v>0</v>
      </c>
      <c r="AA150" s="15">
        <v>0</v>
      </c>
      <c r="AB150" s="15">
        <v>0</v>
      </c>
      <c r="AC150" s="15">
        <v>0</v>
      </c>
      <c r="AD150" s="15">
        <v>0</v>
      </c>
      <c r="AE150" s="15">
        <v>0</v>
      </c>
      <c r="AF150" s="15">
        <v>0</v>
      </c>
      <c r="AG150" s="15">
        <v>0</v>
      </c>
      <c r="AH150" s="15">
        <v>0</v>
      </c>
      <c r="AI150" s="15">
        <v>1</v>
      </c>
      <c r="AJ150" s="15">
        <v>0</v>
      </c>
      <c r="AK150" s="15">
        <v>1</v>
      </c>
      <c r="AL150" s="15">
        <v>0</v>
      </c>
      <c r="AM150" s="20">
        <v>1</v>
      </c>
      <c r="AN150" s="20">
        <v>0</v>
      </c>
      <c r="AO150" s="20">
        <v>0</v>
      </c>
      <c r="AP150" s="20">
        <v>0</v>
      </c>
      <c r="AQ150" s="20">
        <v>0</v>
      </c>
      <c r="AR150" s="20">
        <v>0</v>
      </c>
      <c r="AS150" s="20">
        <v>0</v>
      </c>
      <c r="AT150" s="20">
        <v>0</v>
      </c>
      <c r="AU150" s="20">
        <v>0</v>
      </c>
      <c r="AV150" s="20">
        <v>0</v>
      </c>
      <c r="AW150" s="20">
        <v>0</v>
      </c>
      <c r="AX150" s="20">
        <v>0</v>
      </c>
    </row>
    <row r="151" spans="1:50" x14ac:dyDescent="0.3">
      <c r="A151" s="11">
        <v>25</v>
      </c>
      <c r="B151" s="11">
        <v>5</v>
      </c>
      <c r="C151" s="15">
        <v>0</v>
      </c>
      <c r="D151" s="15">
        <v>0</v>
      </c>
      <c r="E151" s="15">
        <v>0</v>
      </c>
      <c r="F151" s="15">
        <v>1</v>
      </c>
      <c r="G151" s="15">
        <v>0</v>
      </c>
      <c r="H151" s="15">
        <v>1</v>
      </c>
      <c r="I151" s="15">
        <v>0</v>
      </c>
      <c r="J151" s="15">
        <v>1</v>
      </c>
      <c r="K151" s="15">
        <v>0</v>
      </c>
      <c r="L151" s="15">
        <v>0</v>
      </c>
      <c r="M151" s="15">
        <v>1</v>
      </c>
      <c r="N151" s="15">
        <v>0</v>
      </c>
      <c r="O151" s="20">
        <v>0</v>
      </c>
      <c r="P151" s="20">
        <v>0</v>
      </c>
      <c r="Q151" s="20">
        <v>1</v>
      </c>
      <c r="R151" s="20">
        <v>0</v>
      </c>
      <c r="S151" s="20">
        <v>1</v>
      </c>
      <c r="T151" s="20">
        <v>0</v>
      </c>
      <c r="U151" s="20">
        <v>0</v>
      </c>
      <c r="V151" s="20">
        <v>0</v>
      </c>
      <c r="W151" s="20">
        <v>0</v>
      </c>
      <c r="X151" s="20">
        <v>0</v>
      </c>
      <c r="Y151" s="20">
        <v>1</v>
      </c>
      <c r="Z151" s="20">
        <v>0</v>
      </c>
      <c r="AA151" s="15">
        <v>0</v>
      </c>
      <c r="AB151" s="15">
        <v>0</v>
      </c>
      <c r="AC151" s="15">
        <v>0</v>
      </c>
      <c r="AD151" s="15">
        <v>0</v>
      </c>
      <c r="AE151" s="15">
        <v>0</v>
      </c>
      <c r="AF151" s="15">
        <v>0</v>
      </c>
      <c r="AG151" s="15">
        <v>0</v>
      </c>
      <c r="AH151" s="15">
        <v>0</v>
      </c>
      <c r="AI151" s="15">
        <v>1</v>
      </c>
      <c r="AJ151" s="15">
        <v>0</v>
      </c>
      <c r="AK151" s="15">
        <v>1</v>
      </c>
      <c r="AL151" s="15">
        <v>0</v>
      </c>
      <c r="AM151" s="20">
        <v>1</v>
      </c>
      <c r="AN151" s="20">
        <v>0</v>
      </c>
      <c r="AO151" s="20">
        <v>0</v>
      </c>
      <c r="AP151" s="20">
        <v>0</v>
      </c>
      <c r="AQ151" s="20">
        <v>0</v>
      </c>
      <c r="AR151" s="20">
        <v>0</v>
      </c>
      <c r="AS151" s="20">
        <v>0</v>
      </c>
      <c r="AT151" s="20">
        <v>0</v>
      </c>
      <c r="AU151" s="20">
        <v>0</v>
      </c>
      <c r="AV151" s="20">
        <v>0</v>
      </c>
      <c r="AW151" s="20">
        <v>0</v>
      </c>
      <c r="AX151" s="20">
        <v>0</v>
      </c>
    </row>
    <row r="152" spans="1:50" x14ac:dyDescent="0.3">
      <c r="A152" s="11">
        <v>25</v>
      </c>
      <c r="B152" s="11">
        <v>6</v>
      </c>
      <c r="C152" s="15">
        <v>0</v>
      </c>
      <c r="D152" s="15">
        <v>1</v>
      </c>
      <c r="E152" s="15">
        <v>0</v>
      </c>
      <c r="F152" s="15">
        <v>0</v>
      </c>
      <c r="G152" s="15">
        <v>0</v>
      </c>
      <c r="H152" s="15">
        <v>0</v>
      </c>
      <c r="I152" s="15">
        <v>0</v>
      </c>
      <c r="J152" s="15">
        <v>0</v>
      </c>
      <c r="K152" s="15">
        <v>0</v>
      </c>
      <c r="L152" s="15">
        <v>0</v>
      </c>
      <c r="M152" s="15">
        <v>0</v>
      </c>
      <c r="N152" s="15">
        <v>0</v>
      </c>
      <c r="O152" s="20">
        <v>0</v>
      </c>
      <c r="P152" s="20">
        <v>0</v>
      </c>
      <c r="Q152" s="20">
        <v>1</v>
      </c>
      <c r="R152" s="20">
        <v>0</v>
      </c>
      <c r="S152" s="20">
        <v>0</v>
      </c>
      <c r="T152" s="20">
        <v>0</v>
      </c>
      <c r="U152" s="20">
        <v>0</v>
      </c>
      <c r="V152" s="20">
        <v>1</v>
      </c>
      <c r="W152" s="20">
        <v>0</v>
      </c>
      <c r="X152" s="20">
        <v>1</v>
      </c>
      <c r="Y152" s="20">
        <v>0</v>
      </c>
      <c r="Z152" s="20">
        <v>0</v>
      </c>
      <c r="AA152" s="15">
        <v>0</v>
      </c>
      <c r="AB152" s="15">
        <v>0</v>
      </c>
      <c r="AC152" s="15">
        <v>0</v>
      </c>
      <c r="AD152" s="15">
        <v>1</v>
      </c>
      <c r="AE152" s="15">
        <v>0</v>
      </c>
      <c r="AF152" s="15">
        <v>0</v>
      </c>
      <c r="AG152" s="15">
        <v>1</v>
      </c>
      <c r="AH152" s="15">
        <v>0</v>
      </c>
      <c r="AI152" s="15">
        <v>0</v>
      </c>
      <c r="AJ152" s="15">
        <v>0</v>
      </c>
      <c r="AK152" s="15">
        <v>0</v>
      </c>
      <c r="AL152" s="15">
        <v>1</v>
      </c>
      <c r="AM152" s="20">
        <v>1</v>
      </c>
      <c r="AN152" s="20">
        <v>0</v>
      </c>
      <c r="AO152" s="20">
        <v>0</v>
      </c>
      <c r="AP152" s="20">
        <v>0</v>
      </c>
      <c r="AQ152" s="20">
        <v>0</v>
      </c>
      <c r="AR152" s="20">
        <v>0</v>
      </c>
      <c r="AS152" s="20">
        <v>0</v>
      </c>
      <c r="AT152" s="20">
        <v>0</v>
      </c>
      <c r="AU152" s="20">
        <v>0</v>
      </c>
      <c r="AV152" s="20">
        <v>0</v>
      </c>
      <c r="AW152" s="20">
        <v>0</v>
      </c>
      <c r="AX152" s="20">
        <v>0</v>
      </c>
    </row>
    <row r="153" spans="1:50" x14ac:dyDescent="0.3">
      <c r="A153" s="11">
        <v>26</v>
      </c>
      <c r="B153" s="11">
        <v>1</v>
      </c>
      <c r="C153" s="15">
        <v>0</v>
      </c>
      <c r="D153" s="15">
        <v>1</v>
      </c>
      <c r="E153" s="15">
        <v>0</v>
      </c>
      <c r="F153" s="15">
        <v>0</v>
      </c>
      <c r="G153" s="15">
        <v>1</v>
      </c>
      <c r="H153" s="15">
        <v>0</v>
      </c>
      <c r="I153" s="15">
        <v>0</v>
      </c>
      <c r="J153" s="15">
        <v>1</v>
      </c>
      <c r="K153" s="15">
        <v>0</v>
      </c>
      <c r="L153" s="15">
        <v>0</v>
      </c>
      <c r="M153" s="15">
        <v>0</v>
      </c>
      <c r="N153" s="15">
        <v>1</v>
      </c>
      <c r="O153" s="20">
        <v>0</v>
      </c>
      <c r="P153" s="20">
        <v>1</v>
      </c>
      <c r="Q153" s="20">
        <v>0</v>
      </c>
      <c r="R153" s="20">
        <v>0</v>
      </c>
      <c r="S153" s="20">
        <v>0</v>
      </c>
      <c r="T153" s="20">
        <v>1</v>
      </c>
      <c r="U153" s="20">
        <v>1</v>
      </c>
      <c r="V153" s="20">
        <v>0</v>
      </c>
      <c r="W153" s="20">
        <v>0</v>
      </c>
      <c r="X153" s="20">
        <v>1</v>
      </c>
      <c r="Y153" s="20">
        <v>0</v>
      </c>
      <c r="Z153" s="20">
        <v>0</v>
      </c>
      <c r="AA153" s="15">
        <v>0</v>
      </c>
      <c r="AB153" s="15">
        <v>1</v>
      </c>
      <c r="AC153" s="15">
        <v>0</v>
      </c>
      <c r="AD153" s="15">
        <v>0</v>
      </c>
      <c r="AE153" s="15">
        <v>0</v>
      </c>
      <c r="AF153" s="15">
        <v>0</v>
      </c>
      <c r="AG153" s="15">
        <v>0</v>
      </c>
      <c r="AH153" s="15">
        <v>0</v>
      </c>
      <c r="AI153" s="15">
        <v>0</v>
      </c>
      <c r="AJ153" s="15">
        <v>0</v>
      </c>
      <c r="AK153" s="15">
        <v>0</v>
      </c>
      <c r="AL153" s="15">
        <v>0</v>
      </c>
      <c r="AM153" s="20">
        <v>1</v>
      </c>
      <c r="AN153" s="20">
        <v>0</v>
      </c>
      <c r="AO153" s="20">
        <v>0</v>
      </c>
      <c r="AP153" s="20">
        <v>0</v>
      </c>
      <c r="AQ153" s="20">
        <v>0</v>
      </c>
      <c r="AR153" s="20">
        <v>0</v>
      </c>
      <c r="AS153" s="20">
        <v>0</v>
      </c>
      <c r="AT153" s="20">
        <v>0</v>
      </c>
      <c r="AU153" s="20">
        <v>0</v>
      </c>
      <c r="AV153" s="20">
        <v>0</v>
      </c>
      <c r="AW153" s="20">
        <v>0</v>
      </c>
      <c r="AX153" s="20">
        <v>0</v>
      </c>
    </row>
    <row r="154" spans="1:50" x14ac:dyDescent="0.3">
      <c r="A154" s="11">
        <v>26</v>
      </c>
      <c r="B154" s="11">
        <v>2</v>
      </c>
      <c r="C154" s="15">
        <v>0</v>
      </c>
      <c r="D154" s="15">
        <v>0</v>
      </c>
      <c r="E154" s="15">
        <v>1</v>
      </c>
      <c r="F154" s="15">
        <v>0</v>
      </c>
      <c r="G154" s="15">
        <v>0</v>
      </c>
      <c r="H154" s="15">
        <v>1</v>
      </c>
      <c r="I154" s="15">
        <v>0</v>
      </c>
      <c r="J154" s="15">
        <v>0</v>
      </c>
      <c r="K154" s="15">
        <v>1</v>
      </c>
      <c r="L154" s="15">
        <v>0</v>
      </c>
      <c r="M154" s="15">
        <v>0</v>
      </c>
      <c r="N154" s="15">
        <v>0</v>
      </c>
      <c r="O154" s="20">
        <v>0</v>
      </c>
      <c r="P154" s="20">
        <v>0</v>
      </c>
      <c r="Q154" s="20">
        <v>0</v>
      </c>
      <c r="R154" s="20">
        <v>1</v>
      </c>
      <c r="S154" s="20">
        <v>0</v>
      </c>
      <c r="T154" s="20">
        <v>1</v>
      </c>
      <c r="U154" s="20">
        <v>0</v>
      </c>
      <c r="V154" s="20">
        <v>1</v>
      </c>
      <c r="W154" s="20">
        <v>0</v>
      </c>
      <c r="X154" s="20">
        <v>0</v>
      </c>
      <c r="Y154" s="20">
        <v>1</v>
      </c>
      <c r="Z154" s="20">
        <v>0</v>
      </c>
      <c r="AA154" s="15">
        <v>0</v>
      </c>
      <c r="AB154" s="15">
        <v>0</v>
      </c>
      <c r="AC154" s="15">
        <v>0</v>
      </c>
      <c r="AD154" s="15">
        <v>0</v>
      </c>
      <c r="AE154" s="15">
        <v>0</v>
      </c>
      <c r="AF154" s="15">
        <v>1</v>
      </c>
      <c r="AG154" s="15">
        <v>0</v>
      </c>
      <c r="AH154" s="15">
        <v>0</v>
      </c>
      <c r="AI154" s="15">
        <v>0</v>
      </c>
      <c r="AJ154" s="15">
        <v>0</v>
      </c>
      <c r="AK154" s="15">
        <v>0</v>
      </c>
      <c r="AL154" s="15">
        <v>1</v>
      </c>
      <c r="AM154" s="20">
        <v>1</v>
      </c>
      <c r="AN154" s="20">
        <v>0</v>
      </c>
      <c r="AO154" s="20">
        <v>0</v>
      </c>
      <c r="AP154" s="20">
        <v>0</v>
      </c>
      <c r="AQ154" s="20">
        <v>0</v>
      </c>
      <c r="AR154" s="20">
        <v>0</v>
      </c>
      <c r="AS154" s="20">
        <v>0</v>
      </c>
      <c r="AT154" s="20">
        <v>0</v>
      </c>
      <c r="AU154" s="20">
        <v>0</v>
      </c>
      <c r="AV154" s="20">
        <v>0</v>
      </c>
      <c r="AW154" s="20">
        <v>0</v>
      </c>
      <c r="AX154" s="20">
        <v>0</v>
      </c>
    </row>
    <row r="155" spans="1:50" x14ac:dyDescent="0.3">
      <c r="A155" s="11">
        <v>26</v>
      </c>
      <c r="B155" s="11">
        <v>3</v>
      </c>
      <c r="C155" s="15">
        <v>0</v>
      </c>
      <c r="D155" s="15">
        <v>0</v>
      </c>
      <c r="E155" s="15">
        <v>0</v>
      </c>
      <c r="F155" s="15">
        <v>1</v>
      </c>
      <c r="G155" s="15">
        <v>0</v>
      </c>
      <c r="H155" s="15">
        <v>0</v>
      </c>
      <c r="I155" s="15">
        <v>1</v>
      </c>
      <c r="J155" s="15">
        <v>0</v>
      </c>
      <c r="K155" s="15">
        <v>0</v>
      </c>
      <c r="L155" s="15">
        <v>0</v>
      </c>
      <c r="M155" s="15">
        <v>0</v>
      </c>
      <c r="N155" s="15">
        <v>1</v>
      </c>
      <c r="O155" s="20">
        <v>0</v>
      </c>
      <c r="P155" s="20">
        <v>1</v>
      </c>
      <c r="Q155" s="20">
        <v>0</v>
      </c>
      <c r="R155" s="20">
        <v>0</v>
      </c>
      <c r="S155" s="20">
        <v>1</v>
      </c>
      <c r="T155" s="20">
        <v>0</v>
      </c>
      <c r="U155" s="20">
        <v>0</v>
      </c>
      <c r="V155" s="20">
        <v>1</v>
      </c>
      <c r="W155" s="20">
        <v>0</v>
      </c>
      <c r="X155" s="20">
        <v>0</v>
      </c>
      <c r="Y155" s="20">
        <v>0</v>
      </c>
      <c r="Z155" s="20">
        <v>1</v>
      </c>
      <c r="AA155" s="15">
        <v>0</v>
      </c>
      <c r="AB155" s="15">
        <v>0</v>
      </c>
      <c r="AC155" s="15">
        <v>0</v>
      </c>
      <c r="AD155" s="15">
        <v>0</v>
      </c>
      <c r="AE155" s="15">
        <v>0</v>
      </c>
      <c r="AF155" s="15">
        <v>1</v>
      </c>
      <c r="AG155" s="15">
        <v>0</v>
      </c>
      <c r="AH155" s="15">
        <v>0</v>
      </c>
      <c r="AI155" s="15">
        <v>0</v>
      </c>
      <c r="AJ155" s="15">
        <v>0</v>
      </c>
      <c r="AK155" s="15">
        <v>0</v>
      </c>
      <c r="AL155" s="15">
        <v>1</v>
      </c>
      <c r="AM155" s="20">
        <v>1</v>
      </c>
      <c r="AN155" s="20">
        <v>0</v>
      </c>
      <c r="AO155" s="20">
        <v>0</v>
      </c>
      <c r="AP155" s="20">
        <v>0</v>
      </c>
      <c r="AQ155" s="20">
        <v>0</v>
      </c>
      <c r="AR155" s="20">
        <v>0</v>
      </c>
      <c r="AS155" s="20">
        <v>0</v>
      </c>
      <c r="AT155" s="20">
        <v>0</v>
      </c>
      <c r="AU155" s="20">
        <v>0</v>
      </c>
      <c r="AV155" s="20">
        <v>0</v>
      </c>
      <c r="AW155" s="20">
        <v>0</v>
      </c>
      <c r="AX155" s="20">
        <v>0</v>
      </c>
    </row>
    <row r="156" spans="1:50" x14ac:dyDescent="0.3">
      <c r="A156" s="11">
        <v>26</v>
      </c>
      <c r="B156" s="11">
        <v>4</v>
      </c>
      <c r="C156" s="15">
        <v>0</v>
      </c>
      <c r="D156" s="15">
        <v>0</v>
      </c>
      <c r="E156" s="15">
        <v>0</v>
      </c>
      <c r="F156" s="15">
        <v>1</v>
      </c>
      <c r="G156" s="15">
        <v>1</v>
      </c>
      <c r="H156" s="15">
        <v>0</v>
      </c>
      <c r="I156" s="15">
        <v>0</v>
      </c>
      <c r="J156" s="15">
        <v>0</v>
      </c>
      <c r="K156" s="15">
        <v>1</v>
      </c>
      <c r="L156" s="15">
        <v>1</v>
      </c>
      <c r="M156" s="15">
        <v>0</v>
      </c>
      <c r="N156" s="15">
        <v>0</v>
      </c>
      <c r="O156" s="20">
        <v>0</v>
      </c>
      <c r="P156" s="20">
        <v>0</v>
      </c>
      <c r="Q156" s="20">
        <v>1</v>
      </c>
      <c r="R156" s="20">
        <v>0</v>
      </c>
      <c r="S156" s="20">
        <v>0</v>
      </c>
      <c r="T156" s="20">
        <v>1</v>
      </c>
      <c r="U156" s="20">
        <v>0</v>
      </c>
      <c r="V156" s="20">
        <v>0</v>
      </c>
      <c r="W156" s="20">
        <v>1</v>
      </c>
      <c r="X156" s="20">
        <v>0</v>
      </c>
      <c r="Y156" s="20">
        <v>0</v>
      </c>
      <c r="Z156" s="20">
        <v>0</v>
      </c>
      <c r="AA156" s="15">
        <v>0</v>
      </c>
      <c r="AB156" s="15">
        <v>0</v>
      </c>
      <c r="AC156" s="15">
        <v>0</v>
      </c>
      <c r="AD156" s="15">
        <v>0</v>
      </c>
      <c r="AE156" s="15">
        <v>0</v>
      </c>
      <c r="AF156" s="15">
        <v>0</v>
      </c>
      <c r="AG156" s="15">
        <v>0</v>
      </c>
      <c r="AH156" s="15">
        <v>0</v>
      </c>
      <c r="AI156" s="15">
        <v>1</v>
      </c>
      <c r="AJ156" s="15">
        <v>0</v>
      </c>
      <c r="AK156" s="15">
        <v>1</v>
      </c>
      <c r="AL156" s="15">
        <v>0</v>
      </c>
      <c r="AM156" s="20">
        <v>1</v>
      </c>
      <c r="AN156" s="20">
        <v>0</v>
      </c>
      <c r="AO156" s="20">
        <v>0</v>
      </c>
      <c r="AP156" s="20">
        <v>0</v>
      </c>
      <c r="AQ156" s="20">
        <v>0</v>
      </c>
      <c r="AR156" s="20">
        <v>0</v>
      </c>
      <c r="AS156" s="20">
        <v>0</v>
      </c>
      <c r="AT156" s="20">
        <v>0</v>
      </c>
      <c r="AU156" s="20">
        <v>0</v>
      </c>
      <c r="AV156" s="20">
        <v>0</v>
      </c>
      <c r="AW156" s="20">
        <v>0</v>
      </c>
      <c r="AX156" s="20">
        <v>0</v>
      </c>
    </row>
    <row r="157" spans="1:50" x14ac:dyDescent="0.3">
      <c r="A157" s="11">
        <v>26</v>
      </c>
      <c r="B157" s="11">
        <v>5</v>
      </c>
      <c r="C157" s="15">
        <v>0</v>
      </c>
      <c r="D157" s="15">
        <v>0</v>
      </c>
      <c r="E157" s="15">
        <v>0</v>
      </c>
      <c r="F157" s="15">
        <v>1</v>
      </c>
      <c r="G157" s="15">
        <v>0</v>
      </c>
      <c r="H157" s="15">
        <v>1</v>
      </c>
      <c r="I157" s="15">
        <v>0</v>
      </c>
      <c r="J157" s="15">
        <v>1</v>
      </c>
      <c r="K157" s="15">
        <v>0</v>
      </c>
      <c r="L157" s="15">
        <v>0</v>
      </c>
      <c r="M157" s="15">
        <v>1</v>
      </c>
      <c r="N157" s="15">
        <v>0</v>
      </c>
      <c r="O157" s="20">
        <v>0</v>
      </c>
      <c r="P157" s="20">
        <v>0</v>
      </c>
      <c r="Q157" s="20">
        <v>1</v>
      </c>
      <c r="R157" s="20">
        <v>0</v>
      </c>
      <c r="S157" s="20">
        <v>1</v>
      </c>
      <c r="T157" s="20">
        <v>0</v>
      </c>
      <c r="U157" s="20">
        <v>0</v>
      </c>
      <c r="V157" s="20">
        <v>0</v>
      </c>
      <c r="W157" s="20">
        <v>0</v>
      </c>
      <c r="X157" s="20">
        <v>0</v>
      </c>
      <c r="Y157" s="20">
        <v>1</v>
      </c>
      <c r="Z157" s="20">
        <v>0</v>
      </c>
      <c r="AA157" s="15">
        <v>0</v>
      </c>
      <c r="AB157" s="15">
        <v>0</v>
      </c>
      <c r="AC157" s="15">
        <v>0</v>
      </c>
      <c r="AD157" s="15">
        <v>0</v>
      </c>
      <c r="AE157" s="15">
        <v>0</v>
      </c>
      <c r="AF157" s="15">
        <v>0</v>
      </c>
      <c r="AG157" s="15">
        <v>0</v>
      </c>
      <c r="AH157" s="15">
        <v>0</v>
      </c>
      <c r="AI157" s="15">
        <v>1</v>
      </c>
      <c r="AJ157" s="15">
        <v>0</v>
      </c>
      <c r="AK157" s="15">
        <v>1</v>
      </c>
      <c r="AL157" s="15">
        <v>0</v>
      </c>
      <c r="AM157" s="20">
        <v>1</v>
      </c>
      <c r="AN157" s="20">
        <v>0</v>
      </c>
      <c r="AO157" s="20">
        <v>0</v>
      </c>
      <c r="AP157" s="20">
        <v>0</v>
      </c>
      <c r="AQ157" s="20">
        <v>0</v>
      </c>
      <c r="AR157" s="20">
        <v>0</v>
      </c>
      <c r="AS157" s="20">
        <v>0</v>
      </c>
      <c r="AT157" s="20">
        <v>0</v>
      </c>
      <c r="AU157" s="20">
        <v>0</v>
      </c>
      <c r="AV157" s="20">
        <v>0</v>
      </c>
      <c r="AW157" s="20">
        <v>0</v>
      </c>
      <c r="AX157" s="20">
        <v>0</v>
      </c>
    </row>
    <row r="158" spans="1:50" x14ac:dyDescent="0.3">
      <c r="A158" s="11">
        <v>26</v>
      </c>
      <c r="B158" s="11">
        <v>6</v>
      </c>
      <c r="C158" s="15">
        <v>0</v>
      </c>
      <c r="D158" s="15">
        <v>1</v>
      </c>
      <c r="E158" s="15">
        <v>0</v>
      </c>
      <c r="F158" s="15">
        <v>0</v>
      </c>
      <c r="G158" s="15">
        <v>0</v>
      </c>
      <c r="H158" s="15">
        <v>0</v>
      </c>
      <c r="I158" s="15">
        <v>0</v>
      </c>
      <c r="J158" s="15">
        <v>0</v>
      </c>
      <c r="K158" s="15">
        <v>0</v>
      </c>
      <c r="L158" s="15">
        <v>0</v>
      </c>
      <c r="M158" s="15">
        <v>0</v>
      </c>
      <c r="N158" s="15">
        <v>0</v>
      </c>
      <c r="O158" s="20">
        <v>0</v>
      </c>
      <c r="P158" s="20">
        <v>0</v>
      </c>
      <c r="Q158" s="20">
        <v>1</v>
      </c>
      <c r="R158" s="20">
        <v>0</v>
      </c>
      <c r="S158" s="20">
        <v>0</v>
      </c>
      <c r="T158" s="20">
        <v>0</v>
      </c>
      <c r="U158" s="20">
        <v>0</v>
      </c>
      <c r="V158" s="20">
        <v>1</v>
      </c>
      <c r="W158" s="20">
        <v>0</v>
      </c>
      <c r="X158" s="20">
        <v>1</v>
      </c>
      <c r="Y158" s="20">
        <v>0</v>
      </c>
      <c r="Z158" s="20">
        <v>0</v>
      </c>
      <c r="AA158" s="15">
        <v>0</v>
      </c>
      <c r="AB158" s="15">
        <v>0</v>
      </c>
      <c r="AC158" s="15">
        <v>0</v>
      </c>
      <c r="AD158" s="15">
        <v>1</v>
      </c>
      <c r="AE158" s="15">
        <v>0</v>
      </c>
      <c r="AF158" s="15">
        <v>0</v>
      </c>
      <c r="AG158" s="15">
        <v>1</v>
      </c>
      <c r="AH158" s="15">
        <v>0</v>
      </c>
      <c r="AI158" s="15">
        <v>0</v>
      </c>
      <c r="AJ158" s="15">
        <v>0</v>
      </c>
      <c r="AK158" s="15">
        <v>0</v>
      </c>
      <c r="AL158" s="15">
        <v>1</v>
      </c>
      <c r="AM158" s="20">
        <v>1</v>
      </c>
      <c r="AN158" s="20">
        <v>0</v>
      </c>
      <c r="AO158" s="20">
        <v>0</v>
      </c>
      <c r="AP158" s="20">
        <v>0</v>
      </c>
      <c r="AQ158" s="20">
        <v>0</v>
      </c>
      <c r="AR158" s="20">
        <v>0</v>
      </c>
      <c r="AS158" s="20">
        <v>0</v>
      </c>
      <c r="AT158" s="20">
        <v>0</v>
      </c>
      <c r="AU158" s="20">
        <v>0</v>
      </c>
      <c r="AV158" s="20">
        <v>0</v>
      </c>
      <c r="AW158" s="20">
        <v>0</v>
      </c>
      <c r="AX158" s="20">
        <v>0</v>
      </c>
    </row>
    <row r="159" spans="1:50" x14ac:dyDescent="0.3">
      <c r="A159" s="11">
        <v>27</v>
      </c>
      <c r="B159" s="11">
        <v>1</v>
      </c>
      <c r="C159" s="15">
        <v>0</v>
      </c>
      <c r="D159" s="15">
        <v>1</v>
      </c>
      <c r="E159" s="15">
        <v>0</v>
      </c>
      <c r="F159" s="15">
        <v>0</v>
      </c>
      <c r="G159" s="15">
        <v>1</v>
      </c>
      <c r="H159" s="15">
        <v>0</v>
      </c>
      <c r="I159" s="15">
        <v>0</v>
      </c>
      <c r="J159" s="15">
        <v>1</v>
      </c>
      <c r="K159" s="15">
        <v>0</v>
      </c>
      <c r="L159" s="15">
        <v>0</v>
      </c>
      <c r="M159" s="15">
        <v>0</v>
      </c>
      <c r="N159" s="15">
        <v>1</v>
      </c>
      <c r="O159" s="20">
        <v>0</v>
      </c>
      <c r="P159" s="20">
        <v>1</v>
      </c>
      <c r="Q159" s="20">
        <v>0</v>
      </c>
      <c r="R159" s="20">
        <v>0</v>
      </c>
      <c r="S159" s="20">
        <v>0</v>
      </c>
      <c r="T159" s="20">
        <v>1</v>
      </c>
      <c r="U159" s="20">
        <v>1</v>
      </c>
      <c r="V159" s="20">
        <v>0</v>
      </c>
      <c r="W159" s="20">
        <v>0</v>
      </c>
      <c r="X159" s="20">
        <v>1</v>
      </c>
      <c r="Y159" s="20">
        <v>0</v>
      </c>
      <c r="Z159" s="20">
        <v>0</v>
      </c>
      <c r="AA159" s="15">
        <v>0</v>
      </c>
      <c r="AB159" s="15">
        <v>1</v>
      </c>
      <c r="AC159" s="15">
        <v>0</v>
      </c>
      <c r="AD159" s="15">
        <v>0</v>
      </c>
      <c r="AE159" s="15">
        <v>0</v>
      </c>
      <c r="AF159" s="15">
        <v>0</v>
      </c>
      <c r="AG159" s="15">
        <v>0</v>
      </c>
      <c r="AH159" s="15">
        <v>0</v>
      </c>
      <c r="AI159" s="15">
        <v>0</v>
      </c>
      <c r="AJ159" s="15">
        <v>0</v>
      </c>
      <c r="AK159" s="15">
        <v>0</v>
      </c>
      <c r="AL159" s="15">
        <v>0</v>
      </c>
      <c r="AM159" s="20">
        <v>1</v>
      </c>
      <c r="AN159" s="20">
        <v>0</v>
      </c>
      <c r="AO159" s="20">
        <v>0</v>
      </c>
      <c r="AP159" s="20">
        <v>0</v>
      </c>
      <c r="AQ159" s="20">
        <v>0</v>
      </c>
      <c r="AR159" s="20">
        <v>0</v>
      </c>
      <c r="AS159" s="20">
        <v>0</v>
      </c>
      <c r="AT159" s="20">
        <v>0</v>
      </c>
      <c r="AU159" s="20">
        <v>0</v>
      </c>
      <c r="AV159" s="20">
        <v>0</v>
      </c>
      <c r="AW159" s="20">
        <v>0</v>
      </c>
      <c r="AX159" s="20">
        <v>0</v>
      </c>
    </row>
    <row r="160" spans="1:50" x14ac:dyDescent="0.3">
      <c r="A160" s="11">
        <v>27</v>
      </c>
      <c r="B160" s="11">
        <v>2</v>
      </c>
      <c r="C160" s="15">
        <v>0</v>
      </c>
      <c r="D160" s="15">
        <v>0</v>
      </c>
      <c r="E160" s="15">
        <v>1</v>
      </c>
      <c r="F160" s="15">
        <v>0</v>
      </c>
      <c r="G160" s="15">
        <v>0</v>
      </c>
      <c r="H160" s="15">
        <v>1</v>
      </c>
      <c r="I160" s="15">
        <v>0</v>
      </c>
      <c r="J160" s="15">
        <v>0</v>
      </c>
      <c r="K160" s="15">
        <v>1</v>
      </c>
      <c r="L160" s="15">
        <v>0</v>
      </c>
      <c r="M160" s="15">
        <v>0</v>
      </c>
      <c r="N160" s="15">
        <v>0</v>
      </c>
      <c r="O160" s="20">
        <v>0</v>
      </c>
      <c r="P160" s="20">
        <v>0</v>
      </c>
      <c r="Q160" s="20">
        <v>0</v>
      </c>
      <c r="R160" s="20">
        <v>1</v>
      </c>
      <c r="S160" s="20">
        <v>0</v>
      </c>
      <c r="T160" s="20">
        <v>1</v>
      </c>
      <c r="U160" s="20">
        <v>0</v>
      </c>
      <c r="V160" s="20">
        <v>1</v>
      </c>
      <c r="W160" s="20">
        <v>0</v>
      </c>
      <c r="X160" s="20">
        <v>0</v>
      </c>
      <c r="Y160" s="20">
        <v>1</v>
      </c>
      <c r="Z160" s="20">
        <v>0</v>
      </c>
      <c r="AA160" s="15">
        <v>0</v>
      </c>
      <c r="AB160" s="15">
        <v>0</v>
      </c>
      <c r="AC160" s="15">
        <v>0</v>
      </c>
      <c r="AD160" s="15">
        <v>0</v>
      </c>
      <c r="AE160" s="15">
        <v>0</v>
      </c>
      <c r="AF160" s="15">
        <v>1</v>
      </c>
      <c r="AG160" s="15">
        <v>0</v>
      </c>
      <c r="AH160" s="15">
        <v>0</v>
      </c>
      <c r="AI160" s="15">
        <v>0</v>
      </c>
      <c r="AJ160" s="15">
        <v>0</v>
      </c>
      <c r="AK160" s="15">
        <v>0</v>
      </c>
      <c r="AL160" s="15">
        <v>1</v>
      </c>
      <c r="AM160" s="20">
        <v>1</v>
      </c>
      <c r="AN160" s="20">
        <v>0</v>
      </c>
      <c r="AO160" s="20">
        <v>0</v>
      </c>
      <c r="AP160" s="20">
        <v>0</v>
      </c>
      <c r="AQ160" s="20">
        <v>0</v>
      </c>
      <c r="AR160" s="20">
        <v>0</v>
      </c>
      <c r="AS160" s="20">
        <v>0</v>
      </c>
      <c r="AT160" s="20">
        <v>0</v>
      </c>
      <c r="AU160" s="20">
        <v>0</v>
      </c>
      <c r="AV160" s="20">
        <v>0</v>
      </c>
      <c r="AW160" s="20">
        <v>0</v>
      </c>
      <c r="AX160" s="20">
        <v>0</v>
      </c>
    </row>
    <row r="161" spans="1:50" x14ac:dyDescent="0.3">
      <c r="A161" s="11">
        <v>27</v>
      </c>
      <c r="B161" s="11">
        <v>3</v>
      </c>
      <c r="C161" s="15">
        <v>0</v>
      </c>
      <c r="D161" s="15">
        <v>0</v>
      </c>
      <c r="E161" s="15">
        <v>0</v>
      </c>
      <c r="F161" s="15">
        <v>1</v>
      </c>
      <c r="G161" s="15">
        <v>0</v>
      </c>
      <c r="H161" s="15">
        <v>0</v>
      </c>
      <c r="I161" s="15">
        <v>1</v>
      </c>
      <c r="J161" s="15">
        <v>0</v>
      </c>
      <c r="K161" s="15">
        <v>0</v>
      </c>
      <c r="L161" s="15">
        <v>0</v>
      </c>
      <c r="M161" s="15">
        <v>0</v>
      </c>
      <c r="N161" s="15">
        <v>1</v>
      </c>
      <c r="O161" s="20">
        <v>0</v>
      </c>
      <c r="P161" s="20">
        <v>1</v>
      </c>
      <c r="Q161" s="20">
        <v>0</v>
      </c>
      <c r="R161" s="20">
        <v>0</v>
      </c>
      <c r="S161" s="20">
        <v>1</v>
      </c>
      <c r="T161" s="20">
        <v>0</v>
      </c>
      <c r="U161" s="20">
        <v>0</v>
      </c>
      <c r="V161" s="20">
        <v>1</v>
      </c>
      <c r="W161" s="20">
        <v>0</v>
      </c>
      <c r="X161" s="20">
        <v>0</v>
      </c>
      <c r="Y161" s="20">
        <v>0</v>
      </c>
      <c r="Z161" s="20">
        <v>1</v>
      </c>
      <c r="AA161" s="15">
        <v>0</v>
      </c>
      <c r="AB161" s="15">
        <v>0</v>
      </c>
      <c r="AC161" s="15">
        <v>0</v>
      </c>
      <c r="AD161" s="15">
        <v>0</v>
      </c>
      <c r="AE161" s="15">
        <v>0</v>
      </c>
      <c r="AF161" s="15">
        <v>1</v>
      </c>
      <c r="AG161" s="15">
        <v>0</v>
      </c>
      <c r="AH161" s="15">
        <v>0</v>
      </c>
      <c r="AI161" s="15">
        <v>0</v>
      </c>
      <c r="AJ161" s="15">
        <v>0</v>
      </c>
      <c r="AK161" s="15">
        <v>0</v>
      </c>
      <c r="AL161" s="15">
        <v>1</v>
      </c>
      <c r="AM161" s="20">
        <v>1</v>
      </c>
      <c r="AN161" s="20">
        <v>0</v>
      </c>
      <c r="AO161" s="20">
        <v>0</v>
      </c>
      <c r="AP161" s="20">
        <v>0</v>
      </c>
      <c r="AQ161" s="20">
        <v>0</v>
      </c>
      <c r="AR161" s="20">
        <v>0</v>
      </c>
      <c r="AS161" s="20">
        <v>0</v>
      </c>
      <c r="AT161" s="20">
        <v>0</v>
      </c>
      <c r="AU161" s="20">
        <v>0</v>
      </c>
      <c r="AV161" s="20">
        <v>0</v>
      </c>
      <c r="AW161" s="20">
        <v>0</v>
      </c>
      <c r="AX161" s="20">
        <v>0</v>
      </c>
    </row>
    <row r="162" spans="1:50" x14ac:dyDescent="0.3">
      <c r="A162" s="11">
        <v>27</v>
      </c>
      <c r="B162" s="11">
        <v>4</v>
      </c>
      <c r="C162" s="15">
        <v>0</v>
      </c>
      <c r="D162" s="15">
        <v>0</v>
      </c>
      <c r="E162" s="15">
        <v>0</v>
      </c>
      <c r="F162" s="15">
        <v>1</v>
      </c>
      <c r="G162" s="15">
        <v>1</v>
      </c>
      <c r="H162" s="15">
        <v>0</v>
      </c>
      <c r="I162" s="15">
        <v>0</v>
      </c>
      <c r="J162" s="15">
        <v>0</v>
      </c>
      <c r="K162" s="15">
        <v>1</v>
      </c>
      <c r="L162" s="15">
        <v>1</v>
      </c>
      <c r="M162" s="15">
        <v>0</v>
      </c>
      <c r="N162" s="15">
        <v>0</v>
      </c>
      <c r="O162" s="20">
        <v>0</v>
      </c>
      <c r="P162" s="20">
        <v>0</v>
      </c>
      <c r="Q162" s="20">
        <v>1</v>
      </c>
      <c r="R162" s="20">
        <v>0</v>
      </c>
      <c r="S162" s="20">
        <v>0</v>
      </c>
      <c r="T162" s="20">
        <v>1</v>
      </c>
      <c r="U162" s="20">
        <v>0</v>
      </c>
      <c r="V162" s="20">
        <v>0</v>
      </c>
      <c r="W162" s="20">
        <v>1</v>
      </c>
      <c r="X162" s="20">
        <v>0</v>
      </c>
      <c r="Y162" s="20">
        <v>0</v>
      </c>
      <c r="Z162" s="20">
        <v>0</v>
      </c>
      <c r="AA162" s="15">
        <v>0</v>
      </c>
      <c r="AB162" s="15">
        <v>0</v>
      </c>
      <c r="AC162" s="15">
        <v>0</v>
      </c>
      <c r="AD162" s="15">
        <v>0</v>
      </c>
      <c r="AE162" s="15">
        <v>0</v>
      </c>
      <c r="AF162" s="15">
        <v>0</v>
      </c>
      <c r="AG162" s="15">
        <v>0</v>
      </c>
      <c r="AH162" s="15">
        <v>0</v>
      </c>
      <c r="AI162" s="15">
        <v>1</v>
      </c>
      <c r="AJ162" s="15">
        <v>0</v>
      </c>
      <c r="AK162" s="15">
        <v>1</v>
      </c>
      <c r="AL162" s="15">
        <v>0</v>
      </c>
      <c r="AM162" s="20">
        <v>1</v>
      </c>
      <c r="AN162" s="20">
        <v>0</v>
      </c>
      <c r="AO162" s="20">
        <v>0</v>
      </c>
      <c r="AP162" s="20">
        <v>0</v>
      </c>
      <c r="AQ162" s="20">
        <v>0</v>
      </c>
      <c r="AR162" s="20">
        <v>0</v>
      </c>
      <c r="AS162" s="20">
        <v>0</v>
      </c>
      <c r="AT162" s="20">
        <v>0</v>
      </c>
      <c r="AU162" s="20">
        <v>0</v>
      </c>
      <c r="AV162" s="20">
        <v>0</v>
      </c>
      <c r="AW162" s="20">
        <v>0</v>
      </c>
      <c r="AX162" s="20">
        <v>0</v>
      </c>
    </row>
    <row r="163" spans="1:50" x14ac:dyDescent="0.3">
      <c r="A163" s="11">
        <v>27</v>
      </c>
      <c r="B163" s="11">
        <v>5</v>
      </c>
      <c r="C163" s="15">
        <v>0</v>
      </c>
      <c r="D163" s="15">
        <v>0</v>
      </c>
      <c r="E163" s="15">
        <v>0</v>
      </c>
      <c r="F163" s="15">
        <v>1</v>
      </c>
      <c r="G163" s="15">
        <v>0</v>
      </c>
      <c r="H163" s="15">
        <v>1</v>
      </c>
      <c r="I163" s="15">
        <v>0</v>
      </c>
      <c r="J163" s="15">
        <v>1</v>
      </c>
      <c r="K163" s="15">
        <v>0</v>
      </c>
      <c r="L163" s="15">
        <v>0</v>
      </c>
      <c r="M163" s="15">
        <v>1</v>
      </c>
      <c r="N163" s="15">
        <v>0</v>
      </c>
      <c r="O163" s="20">
        <v>0</v>
      </c>
      <c r="P163" s="20">
        <v>0</v>
      </c>
      <c r="Q163" s="20">
        <v>1</v>
      </c>
      <c r="R163" s="20">
        <v>0</v>
      </c>
      <c r="S163" s="20">
        <v>1</v>
      </c>
      <c r="T163" s="20">
        <v>0</v>
      </c>
      <c r="U163" s="20">
        <v>0</v>
      </c>
      <c r="V163" s="20">
        <v>0</v>
      </c>
      <c r="W163" s="20">
        <v>0</v>
      </c>
      <c r="X163" s="20">
        <v>0</v>
      </c>
      <c r="Y163" s="20">
        <v>1</v>
      </c>
      <c r="Z163" s="20">
        <v>0</v>
      </c>
      <c r="AA163" s="15">
        <v>0</v>
      </c>
      <c r="AB163" s="15">
        <v>0</v>
      </c>
      <c r="AC163" s="15">
        <v>0</v>
      </c>
      <c r="AD163" s="15">
        <v>0</v>
      </c>
      <c r="AE163" s="15">
        <v>0</v>
      </c>
      <c r="AF163" s="15">
        <v>0</v>
      </c>
      <c r="AG163" s="15">
        <v>0</v>
      </c>
      <c r="AH163" s="15">
        <v>0</v>
      </c>
      <c r="AI163" s="15">
        <v>1</v>
      </c>
      <c r="AJ163" s="15">
        <v>0</v>
      </c>
      <c r="AK163" s="15">
        <v>1</v>
      </c>
      <c r="AL163" s="15">
        <v>0</v>
      </c>
      <c r="AM163" s="20">
        <v>1</v>
      </c>
      <c r="AN163" s="20">
        <v>0</v>
      </c>
      <c r="AO163" s="20">
        <v>0</v>
      </c>
      <c r="AP163" s="20">
        <v>0</v>
      </c>
      <c r="AQ163" s="20">
        <v>0</v>
      </c>
      <c r="AR163" s="20">
        <v>0</v>
      </c>
      <c r="AS163" s="20">
        <v>0</v>
      </c>
      <c r="AT163" s="20">
        <v>0</v>
      </c>
      <c r="AU163" s="20">
        <v>0</v>
      </c>
      <c r="AV163" s="20">
        <v>0</v>
      </c>
      <c r="AW163" s="20">
        <v>0</v>
      </c>
      <c r="AX163" s="20">
        <v>0</v>
      </c>
    </row>
    <row r="164" spans="1:50" x14ac:dyDescent="0.3">
      <c r="A164" s="11">
        <v>27</v>
      </c>
      <c r="B164" s="11">
        <v>6</v>
      </c>
      <c r="C164" s="15">
        <v>0</v>
      </c>
      <c r="D164" s="15">
        <v>1</v>
      </c>
      <c r="E164" s="15">
        <v>0</v>
      </c>
      <c r="F164" s="15">
        <v>0</v>
      </c>
      <c r="G164" s="15">
        <v>0</v>
      </c>
      <c r="H164" s="15">
        <v>0</v>
      </c>
      <c r="I164" s="15">
        <v>0</v>
      </c>
      <c r="J164" s="15">
        <v>0</v>
      </c>
      <c r="K164" s="15">
        <v>0</v>
      </c>
      <c r="L164" s="15">
        <v>0</v>
      </c>
      <c r="M164" s="15">
        <v>0</v>
      </c>
      <c r="N164" s="15">
        <v>0</v>
      </c>
      <c r="O164" s="20">
        <v>0</v>
      </c>
      <c r="P164" s="20">
        <v>0</v>
      </c>
      <c r="Q164" s="20">
        <v>1</v>
      </c>
      <c r="R164" s="20">
        <v>0</v>
      </c>
      <c r="S164" s="20">
        <v>0</v>
      </c>
      <c r="T164" s="20">
        <v>0</v>
      </c>
      <c r="U164" s="20">
        <v>0</v>
      </c>
      <c r="V164" s="20">
        <v>1</v>
      </c>
      <c r="W164" s="20">
        <v>0</v>
      </c>
      <c r="X164" s="20">
        <v>1</v>
      </c>
      <c r="Y164" s="20">
        <v>0</v>
      </c>
      <c r="Z164" s="20">
        <v>0</v>
      </c>
      <c r="AA164" s="15">
        <v>0</v>
      </c>
      <c r="AB164" s="15">
        <v>0</v>
      </c>
      <c r="AC164" s="15">
        <v>0</v>
      </c>
      <c r="AD164" s="15">
        <v>1</v>
      </c>
      <c r="AE164" s="15">
        <v>0</v>
      </c>
      <c r="AF164" s="15">
        <v>0</v>
      </c>
      <c r="AG164" s="15">
        <v>1</v>
      </c>
      <c r="AH164" s="15">
        <v>0</v>
      </c>
      <c r="AI164" s="15">
        <v>0</v>
      </c>
      <c r="AJ164" s="15">
        <v>0</v>
      </c>
      <c r="AK164" s="15">
        <v>0</v>
      </c>
      <c r="AL164" s="15">
        <v>1</v>
      </c>
      <c r="AM164" s="20">
        <v>1</v>
      </c>
      <c r="AN164" s="20">
        <v>0</v>
      </c>
      <c r="AO164" s="20">
        <v>0</v>
      </c>
      <c r="AP164" s="20">
        <v>0</v>
      </c>
      <c r="AQ164" s="20">
        <v>0</v>
      </c>
      <c r="AR164" s="20">
        <v>0</v>
      </c>
      <c r="AS164" s="20">
        <v>0</v>
      </c>
      <c r="AT164" s="20">
        <v>0</v>
      </c>
      <c r="AU164" s="20">
        <v>0</v>
      </c>
      <c r="AV164" s="20">
        <v>0</v>
      </c>
      <c r="AW164" s="20">
        <v>0</v>
      </c>
      <c r="AX164" s="20">
        <v>0</v>
      </c>
    </row>
    <row r="165" spans="1:50" x14ac:dyDescent="0.3">
      <c r="A165" s="11">
        <v>28</v>
      </c>
      <c r="B165" s="11">
        <v>1</v>
      </c>
      <c r="C165" s="15">
        <v>0</v>
      </c>
      <c r="D165" s="15">
        <v>1</v>
      </c>
      <c r="E165" s="15">
        <v>0</v>
      </c>
      <c r="F165" s="15">
        <v>0</v>
      </c>
      <c r="G165" s="15">
        <v>1</v>
      </c>
      <c r="H165" s="15">
        <v>0</v>
      </c>
      <c r="I165" s="15">
        <v>0</v>
      </c>
      <c r="J165" s="15">
        <v>1</v>
      </c>
      <c r="K165" s="15">
        <v>0</v>
      </c>
      <c r="L165" s="15">
        <v>0</v>
      </c>
      <c r="M165" s="15">
        <v>0</v>
      </c>
      <c r="N165" s="15">
        <v>1</v>
      </c>
      <c r="O165" s="20">
        <v>0</v>
      </c>
      <c r="P165" s="20">
        <v>1</v>
      </c>
      <c r="Q165" s="20">
        <v>0</v>
      </c>
      <c r="R165" s="20">
        <v>0</v>
      </c>
      <c r="S165" s="20">
        <v>0</v>
      </c>
      <c r="T165" s="20">
        <v>1</v>
      </c>
      <c r="U165" s="20">
        <v>1</v>
      </c>
      <c r="V165" s="20">
        <v>0</v>
      </c>
      <c r="W165" s="20">
        <v>0</v>
      </c>
      <c r="X165" s="20">
        <v>1</v>
      </c>
      <c r="Y165" s="20">
        <v>0</v>
      </c>
      <c r="Z165" s="20">
        <v>0</v>
      </c>
      <c r="AA165" s="15">
        <v>0</v>
      </c>
      <c r="AB165" s="15">
        <v>1</v>
      </c>
      <c r="AC165" s="15">
        <v>0</v>
      </c>
      <c r="AD165" s="15">
        <v>0</v>
      </c>
      <c r="AE165" s="15">
        <v>0</v>
      </c>
      <c r="AF165" s="15">
        <v>0</v>
      </c>
      <c r="AG165" s="15">
        <v>0</v>
      </c>
      <c r="AH165" s="15">
        <v>0</v>
      </c>
      <c r="AI165" s="15">
        <v>0</v>
      </c>
      <c r="AJ165" s="15">
        <v>0</v>
      </c>
      <c r="AK165" s="15">
        <v>0</v>
      </c>
      <c r="AL165" s="15">
        <v>0</v>
      </c>
      <c r="AM165" s="20">
        <v>1</v>
      </c>
      <c r="AN165" s="20">
        <v>0</v>
      </c>
      <c r="AO165" s="20">
        <v>0</v>
      </c>
      <c r="AP165" s="20">
        <v>0</v>
      </c>
      <c r="AQ165" s="20">
        <v>0</v>
      </c>
      <c r="AR165" s="20">
        <v>0</v>
      </c>
      <c r="AS165" s="20">
        <v>0</v>
      </c>
      <c r="AT165" s="20">
        <v>0</v>
      </c>
      <c r="AU165" s="20">
        <v>0</v>
      </c>
      <c r="AV165" s="20">
        <v>0</v>
      </c>
      <c r="AW165" s="20">
        <v>0</v>
      </c>
      <c r="AX165" s="20">
        <v>0</v>
      </c>
    </row>
    <row r="166" spans="1:50" x14ac:dyDescent="0.3">
      <c r="A166" s="11">
        <v>28</v>
      </c>
      <c r="B166" s="11">
        <v>2</v>
      </c>
      <c r="C166" s="15">
        <v>0</v>
      </c>
      <c r="D166" s="15">
        <v>0</v>
      </c>
      <c r="E166" s="15">
        <v>1</v>
      </c>
      <c r="F166" s="15">
        <v>0</v>
      </c>
      <c r="G166" s="15">
        <v>0</v>
      </c>
      <c r="H166" s="15">
        <v>1</v>
      </c>
      <c r="I166" s="15">
        <v>0</v>
      </c>
      <c r="J166" s="15">
        <v>0</v>
      </c>
      <c r="K166" s="15">
        <v>1</v>
      </c>
      <c r="L166" s="15">
        <v>0</v>
      </c>
      <c r="M166" s="15">
        <v>0</v>
      </c>
      <c r="N166" s="15">
        <v>0</v>
      </c>
      <c r="O166" s="20">
        <v>0</v>
      </c>
      <c r="P166" s="20">
        <v>0</v>
      </c>
      <c r="Q166" s="20">
        <v>0</v>
      </c>
      <c r="R166" s="20">
        <v>1</v>
      </c>
      <c r="S166" s="20">
        <v>0</v>
      </c>
      <c r="T166" s="20">
        <v>1</v>
      </c>
      <c r="U166" s="20">
        <v>0</v>
      </c>
      <c r="V166" s="20">
        <v>1</v>
      </c>
      <c r="W166" s="20">
        <v>0</v>
      </c>
      <c r="X166" s="20">
        <v>0</v>
      </c>
      <c r="Y166" s="20">
        <v>1</v>
      </c>
      <c r="Z166" s="20">
        <v>0</v>
      </c>
      <c r="AA166" s="15">
        <v>0</v>
      </c>
      <c r="AB166" s="15">
        <v>0</v>
      </c>
      <c r="AC166" s="15">
        <v>0</v>
      </c>
      <c r="AD166" s="15">
        <v>0</v>
      </c>
      <c r="AE166" s="15">
        <v>0</v>
      </c>
      <c r="AF166" s="15">
        <v>1</v>
      </c>
      <c r="AG166" s="15">
        <v>0</v>
      </c>
      <c r="AH166" s="15">
        <v>0</v>
      </c>
      <c r="AI166" s="15">
        <v>0</v>
      </c>
      <c r="AJ166" s="15">
        <v>0</v>
      </c>
      <c r="AK166" s="15">
        <v>0</v>
      </c>
      <c r="AL166" s="15">
        <v>1</v>
      </c>
      <c r="AM166" s="20">
        <v>1</v>
      </c>
      <c r="AN166" s="20">
        <v>0</v>
      </c>
      <c r="AO166" s="20">
        <v>0</v>
      </c>
      <c r="AP166" s="20">
        <v>0</v>
      </c>
      <c r="AQ166" s="20">
        <v>0</v>
      </c>
      <c r="AR166" s="20">
        <v>0</v>
      </c>
      <c r="AS166" s="20">
        <v>0</v>
      </c>
      <c r="AT166" s="20">
        <v>0</v>
      </c>
      <c r="AU166" s="20">
        <v>0</v>
      </c>
      <c r="AV166" s="20">
        <v>0</v>
      </c>
      <c r="AW166" s="20">
        <v>0</v>
      </c>
      <c r="AX166" s="20">
        <v>0</v>
      </c>
    </row>
    <row r="167" spans="1:50" x14ac:dyDescent="0.3">
      <c r="A167" s="11">
        <v>28</v>
      </c>
      <c r="B167" s="11">
        <v>3</v>
      </c>
      <c r="C167" s="15">
        <v>0</v>
      </c>
      <c r="D167" s="15">
        <v>0</v>
      </c>
      <c r="E167" s="15">
        <v>0</v>
      </c>
      <c r="F167" s="15">
        <v>1</v>
      </c>
      <c r="G167" s="15">
        <v>0</v>
      </c>
      <c r="H167" s="15">
        <v>0</v>
      </c>
      <c r="I167" s="15">
        <v>1</v>
      </c>
      <c r="J167" s="15">
        <v>0</v>
      </c>
      <c r="K167" s="15">
        <v>0</v>
      </c>
      <c r="L167" s="15">
        <v>0</v>
      </c>
      <c r="M167" s="15">
        <v>0</v>
      </c>
      <c r="N167" s="15">
        <v>1</v>
      </c>
      <c r="O167" s="20">
        <v>0</v>
      </c>
      <c r="P167" s="20">
        <v>1</v>
      </c>
      <c r="Q167" s="20">
        <v>0</v>
      </c>
      <c r="R167" s="20">
        <v>0</v>
      </c>
      <c r="S167" s="20">
        <v>1</v>
      </c>
      <c r="T167" s="20">
        <v>0</v>
      </c>
      <c r="U167" s="20">
        <v>0</v>
      </c>
      <c r="V167" s="20">
        <v>1</v>
      </c>
      <c r="W167" s="20">
        <v>0</v>
      </c>
      <c r="X167" s="20">
        <v>0</v>
      </c>
      <c r="Y167" s="20">
        <v>0</v>
      </c>
      <c r="Z167" s="20">
        <v>1</v>
      </c>
      <c r="AA167" s="15">
        <v>0</v>
      </c>
      <c r="AB167" s="15">
        <v>0</v>
      </c>
      <c r="AC167" s="15">
        <v>0</v>
      </c>
      <c r="AD167" s="15">
        <v>0</v>
      </c>
      <c r="AE167" s="15">
        <v>0</v>
      </c>
      <c r="AF167" s="15">
        <v>1</v>
      </c>
      <c r="AG167" s="15">
        <v>0</v>
      </c>
      <c r="AH167" s="15">
        <v>0</v>
      </c>
      <c r="AI167" s="15">
        <v>0</v>
      </c>
      <c r="AJ167" s="15">
        <v>0</v>
      </c>
      <c r="AK167" s="15">
        <v>0</v>
      </c>
      <c r="AL167" s="15">
        <v>1</v>
      </c>
      <c r="AM167" s="20">
        <v>1</v>
      </c>
      <c r="AN167" s="20">
        <v>0</v>
      </c>
      <c r="AO167" s="20">
        <v>0</v>
      </c>
      <c r="AP167" s="20">
        <v>0</v>
      </c>
      <c r="AQ167" s="20">
        <v>0</v>
      </c>
      <c r="AR167" s="20">
        <v>0</v>
      </c>
      <c r="AS167" s="20">
        <v>0</v>
      </c>
      <c r="AT167" s="20">
        <v>0</v>
      </c>
      <c r="AU167" s="20">
        <v>0</v>
      </c>
      <c r="AV167" s="20">
        <v>0</v>
      </c>
      <c r="AW167" s="20">
        <v>0</v>
      </c>
      <c r="AX167" s="20">
        <v>0</v>
      </c>
    </row>
    <row r="168" spans="1:50" x14ac:dyDescent="0.3">
      <c r="A168" s="11">
        <v>28</v>
      </c>
      <c r="B168" s="11">
        <v>4</v>
      </c>
      <c r="C168" s="15">
        <v>0</v>
      </c>
      <c r="D168" s="15">
        <v>0</v>
      </c>
      <c r="E168" s="15">
        <v>0</v>
      </c>
      <c r="F168" s="15">
        <v>1</v>
      </c>
      <c r="G168" s="15">
        <v>1</v>
      </c>
      <c r="H168" s="15">
        <v>0</v>
      </c>
      <c r="I168" s="15">
        <v>0</v>
      </c>
      <c r="J168" s="15">
        <v>0</v>
      </c>
      <c r="K168" s="15">
        <v>1</v>
      </c>
      <c r="L168" s="15">
        <v>1</v>
      </c>
      <c r="M168" s="15">
        <v>0</v>
      </c>
      <c r="N168" s="15">
        <v>0</v>
      </c>
      <c r="O168" s="20">
        <v>0</v>
      </c>
      <c r="P168" s="20">
        <v>0</v>
      </c>
      <c r="Q168" s="20">
        <v>1</v>
      </c>
      <c r="R168" s="20">
        <v>0</v>
      </c>
      <c r="S168" s="20">
        <v>0</v>
      </c>
      <c r="T168" s="20">
        <v>1</v>
      </c>
      <c r="U168" s="20">
        <v>0</v>
      </c>
      <c r="V168" s="20">
        <v>0</v>
      </c>
      <c r="W168" s="20">
        <v>1</v>
      </c>
      <c r="X168" s="20">
        <v>0</v>
      </c>
      <c r="Y168" s="20">
        <v>0</v>
      </c>
      <c r="Z168" s="20">
        <v>0</v>
      </c>
      <c r="AA168" s="15">
        <v>0</v>
      </c>
      <c r="AB168" s="15">
        <v>0</v>
      </c>
      <c r="AC168" s="15">
        <v>0</v>
      </c>
      <c r="AD168" s="15">
        <v>0</v>
      </c>
      <c r="AE168" s="15">
        <v>0</v>
      </c>
      <c r="AF168" s="15">
        <v>0</v>
      </c>
      <c r="AG168" s="15">
        <v>0</v>
      </c>
      <c r="AH168" s="15">
        <v>0</v>
      </c>
      <c r="AI168" s="15">
        <v>1</v>
      </c>
      <c r="AJ168" s="15">
        <v>0</v>
      </c>
      <c r="AK168" s="15">
        <v>1</v>
      </c>
      <c r="AL168" s="15">
        <v>0</v>
      </c>
      <c r="AM168" s="20">
        <v>1</v>
      </c>
      <c r="AN168" s="20">
        <v>0</v>
      </c>
      <c r="AO168" s="20">
        <v>0</v>
      </c>
      <c r="AP168" s="20">
        <v>0</v>
      </c>
      <c r="AQ168" s="20">
        <v>0</v>
      </c>
      <c r="AR168" s="20">
        <v>0</v>
      </c>
      <c r="AS168" s="20">
        <v>0</v>
      </c>
      <c r="AT168" s="20">
        <v>0</v>
      </c>
      <c r="AU168" s="20">
        <v>0</v>
      </c>
      <c r="AV168" s="20">
        <v>0</v>
      </c>
      <c r="AW168" s="20">
        <v>0</v>
      </c>
      <c r="AX168" s="20">
        <v>0</v>
      </c>
    </row>
    <row r="169" spans="1:50" x14ac:dyDescent="0.3">
      <c r="A169" s="11">
        <v>28</v>
      </c>
      <c r="B169" s="11">
        <v>5</v>
      </c>
      <c r="C169" s="15">
        <v>0</v>
      </c>
      <c r="D169" s="15">
        <v>0</v>
      </c>
      <c r="E169" s="15">
        <v>0</v>
      </c>
      <c r="F169" s="15">
        <v>1</v>
      </c>
      <c r="G169" s="15">
        <v>0</v>
      </c>
      <c r="H169" s="15">
        <v>1</v>
      </c>
      <c r="I169" s="15">
        <v>0</v>
      </c>
      <c r="J169" s="15">
        <v>1</v>
      </c>
      <c r="K169" s="15">
        <v>0</v>
      </c>
      <c r="L169" s="15">
        <v>0</v>
      </c>
      <c r="M169" s="15">
        <v>1</v>
      </c>
      <c r="N169" s="15">
        <v>0</v>
      </c>
      <c r="O169" s="20">
        <v>0</v>
      </c>
      <c r="P169" s="20">
        <v>0</v>
      </c>
      <c r="Q169" s="20">
        <v>1</v>
      </c>
      <c r="R169" s="20">
        <v>0</v>
      </c>
      <c r="S169" s="20">
        <v>1</v>
      </c>
      <c r="T169" s="20">
        <v>0</v>
      </c>
      <c r="U169" s="20">
        <v>0</v>
      </c>
      <c r="V169" s="20">
        <v>0</v>
      </c>
      <c r="W169" s="20">
        <v>0</v>
      </c>
      <c r="X169" s="20">
        <v>0</v>
      </c>
      <c r="Y169" s="20">
        <v>1</v>
      </c>
      <c r="Z169" s="20">
        <v>0</v>
      </c>
      <c r="AA169" s="15">
        <v>0</v>
      </c>
      <c r="AB169" s="15">
        <v>0</v>
      </c>
      <c r="AC169" s="15">
        <v>0</v>
      </c>
      <c r="AD169" s="15">
        <v>0</v>
      </c>
      <c r="AE169" s="15">
        <v>0</v>
      </c>
      <c r="AF169" s="15">
        <v>0</v>
      </c>
      <c r="AG169" s="15">
        <v>0</v>
      </c>
      <c r="AH169" s="15">
        <v>0</v>
      </c>
      <c r="AI169" s="15">
        <v>1</v>
      </c>
      <c r="AJ169" s="15">
        <v>0</v>
      </c>
      <c r="AK169" s="15">
        <v>1</v>
      </c>
      <c r="AL169" s="15">
        <v>0</v>
      </c>
      <c r="AM169" s="20">
        <v>1</v>
      </c>
      <c r="AN169" s="20">
        <v>0</v>
      </c>
      <c r="AO169" s="20">
        <v>0</v>
      </c>
      <c r="AP169" s="20">
        <v>0</v>
      </c>
      <c r="AQ169" s="20">
        <v>0</v>
      </c>
      <c r="AR169" s="20">
        <v>0</v>
      </c>
      <c r="AS169" s="20">
        <v>0</v>
      </c>
      <c r="AT169" s="20">
        <v>0</v>
      </c>
      <c r="AU169" s="20">
        <v>0</v>
      </c>
      <c r="AV169" s="20">
        <v>0</v>
      </c>
      <c r="AW169" s="20">
        <v>0</v>
      </c>
      <c r="AX169" s="20">
        <v>0</v>
      </c>
    </row>
    <row r="170" spans="1:50" x14ac:dyDescent="0.3">
      <c r="A170" s="11">
        <v>28</v>
      </c>
      <c r="B170" s="11">
        <v>6</v>
      </c>
      <c r="C170" s="15">
        <v>0</v>
      </c>
      <c r="D170" s="15">
        <v>1</v>
      </c>
      <c r="E170" s="15">
        <v>0</v>
      </c>
      <c r="F170" s="15">
        <v>0</v>
      </c>
      <c r="G170" s="15">
        <v>0</v>
      </c>
      <c r="H170" s="15">
        <v>0</v>
      </c>
      <c r="I170" s="15">
        <v>0</v>
      </c>
      <c r="J170" s="15">
        <v>0</v>
      </c>
      <c r="K170" s="15">
        <v>0</v>
      </c>
      <c r="L170" s="15">
        <v>0</v>
      </c>
      <c r="M170" s="15">
        <v>0</v>
      </c>
      <c r="N170" s="15">
        <v>0</v>
      </c>
      <c r="O170" s="20">
        <v>0</v>
      </c>
      <c r="P170" s="20">
        <v>0</v>
      </c>
      <c r="Q170" s="20">
        <v>1</v>
      </c>
      <c r="R170" s="20">
        <v>0</v>
      </c>
      <c r="S170" s="20">
        <v>0</v>
      </c>
      <c r="T170" s="20">
        <v>0</v>
      </c>
      <c r="U170" s="20">
        <v>0</v>
      </c>
      <c r="V170" s="20">
        <v>1</v>
      </c>
      <c r="W170" s="20">
        <v>0</v>
      </c>
      <c r="X170" s="20">
        <v>1</v>
      </c>
      <c r="Y170" s="20">
        <v>0</v>
      </c>
      <c r="Z170" s="20">
        <v>0</v>
      </c>
      <c r="AA170" s="15">
        <v>0</v>
      </c>
      <c r="AB170" s="15">
        <v>0</v>
      </c>
      <c r="AC170" s="15">
        <v>0</v>
      </c>
      <c r="AD170" s="15">
        <v>1</v>
      </c>
      <c r="AE170" s="15">
        <v>0</v>
      </c>
      <c r="AF170" s="15">
        <v>0</v>
      </c>
      <c r="AG170" s="15">
        <v>1</v>
      </c>
      <c r="AH170" s="15">
        <v>0</v>
      </c>
      <c r="AI170" s="15">
        <v>0</v>
      </c>
      <c r="AJ170" s="15">
        <v>0</v>
      </c>
      <c r="AK170" s="15">
        <v>0</v>
      </c>
      <c r="AL170" s="15">
        <v>1</v>
      </c>
      <c r="AM170" s="20">
        <v>1</v>
      </c>
      <c r="AN170" s="20">
        <v>0</v>
      </c>
      <c r="AO170" s="20">
        <v>0</v>
      </c>
      <c r="AP170" s="20">
        <v>0</v>
      </c>
      <c r="AQ170" s="20">
        <v>0</v>
      </c>
      <c r="AR170" s="20">
        <v>0</v>
      </c>
      <c r="AS170" s="20">
        <v>0</v>
      </c>
      <c r="AT170" s="20">
        <v>0</v>
      </c>
      <c r="AU170" s="20">
        <v>0</v>
      </c>
      <c r="AV170" s="20">
        <v>0</v>
      </c>
      <c r="AW170" s="20">
        <v>0</v>
      </c>
      <c r="AX170" s="20">
        <v>0</v>
      </c>
    </row>
    <row r="171" spans="1:50" x14ac:dyDescent="0.3">
      <c r="A171" s="11">
        <v>29</v>
      </c>
      <c r="B171" s="11">
        <v>1</v>
      </c>
      <c r="C171" s="15">
        <v>0</v>
      </c>
      <c r="D171" s="15">
        <v>1</v>
      </c>
      <c r="E171" s="15">
        <v>0</v>
      </c>
      <c r="F171" s="15">
        <v>0</v>
      </c>
      <c r="G171" s="15">
        <v>1</v>
      </c>
      <c r="H171" s="15">
        <v>0</v>
      </c>
      <c r="I171" s="15">
        <v>0</v>
      </c>
      <c r="J171" s="15">
        <v>1</v>
      </c>
      <c r="K171" s="15">
        <v>0</v>
      </c>
      <c r="L171" s="15">
        <v>0</v>
      </c>
      <c r="M171" s="15">
        <v>0</v>
      </c>
      <c r="N171" s="15">
        <v>1</v>
      </c>
      <c r="O171" s="20">
        <v>0</v>
      </c>
      <c r="P171" s="20">
        <v>1</v>
      </c>
      <c r="Q171" s="20">
        <v>0</v>
      </c>
      <c r="R171" s="20">
        <v>0</v>
      </c>
      <c r="S171" s="20">
        <v>0</v>
      </c>
      <c r="T171" s="20">
        <v>1</v>
      </c>
      <c r="U171" s="20">
        <v>1</v>
      </c>
      <c r="V171" s="20">
        <v>0</v>
      </c>
      <c r="W171" s="20">
        <v>0</v>
      </c>
      <c r="X171" s="20">
        <v>1</v>
      </c>
      <c r="Y171" s="20">
        <v>0</v>
      </c>
      <c r="Z171" s="20">
        <v>0</v>
      </c>
      <c r="AA171" s="15">
        <v>0</v>
      </c>
      <c r="AB171" s="15">
        <v>1</v>
      </c>
      <c r="AC171" s="15">
        <v>0</v>
      </c>
      <c r="AD171" s="15">
        <v>0</v>
      </c>
      <c r="AE171" s="15">
        <v>0</v>
      </c>
      <c r="AF171" s="15">
        <v>0</v>
      </c>
      <c r="AG171" s="15">
        <v>0</v>
      </c>
      <c r="AH171" s="15">
        <v>0</v>
      </c>
      <c r="AI171" s="15">
        <v>0</v>
      </c>
      <c r="AJ171" s="15">
        <v>0</v>
      </c>
      <c r="AK171" s="15">
        <v>0</v>
      </c>
      <c r="AL171" s="15">
        <v>0</v>
      </c>
      <c r="AM171" s="20">
        <v>1</v>
      </c>
      <c r="AN171" s="20">
        <v>0</v>
      </c>
      <c r="AO171" s="20">
        <v>0</v>
      </c>
      <c r="AP171" s="20">
        <v>0</v>
      </c>
      <c r="AQ171" s="20">
        <v>0</v>
      </c>
      <c r="AR171" s="20">
        <v>0</v>
      </c>
      <c r="AS171" s="20">
        <v>0</v>
      </c>
      <c r="AT171" s="20">
        <v>0</v>
      </c>
      <c r="AU171" s="20">
        <v>0</v>
      </c>
      <c r="AV171" s="20">
        <v>0</v>
      </c>
      <c r="AW171" s="20">
        <v>0</v>
      </c>
      <c r="AX171" s="20">
        <v>0</v>
      </c>
    </row>
    <row r="172" spans="1:50" x14ac:dyDescent="0.3">
      <c r="A172" s="11">
        <v>29</v>
      </c>
      <c r="B172" s="11">
        <v>2</v>
      </c>
      <c r="C172" s="15">
        <v>0</v>
      </c>
      <c r="D172" s="15">
        <v>0</v>
      </c>
      <c r="E172" s="15">
        <v>1</v>
      </c>
      <c r="F172" s="15">
        <v>0</v>
      </c>
      <c r="G172" s="15">
        <v>0</v>
      </c>
      <c r="H172" s="15">
        <v>1</v>
      </c>
      <c r="I172" s="15">
        <v>0</v>
      </c>
      <c r="J172" s="15">
        <v>0</v>
      </c>
      <c r="K172" s="15">
        <v>1</v>
      </c>
      <c r="L172" s="15">
        <v>0</v>
      </c>
      <c r="M172" s="15">
        <v>0</v>
      </c>
      <c r="N172" s="15">
        <v>0</v>
      </c>
      <c r="O172" s="20">
        <v>0</v>
      </c>
      <c r="P172" s="20">
        <v>0</v>
      </c>
      <c r="Q172" s="20">
        <v>0</v>
      </c>
      <c r="R172" s="20">
        <v>1</v>
      </c>
      <c r="S172" s="20">
        <v>0</v>
      </c>
      <c r="T172" s="20">
        <v>1</v>
      </c>
      <c r="U172" s="20">
        <v>0</v>
      </c>
      <c r="V172" s="20">
        <v>1</v>
      </c>
      <c r="W172" s="20">
        <v>0</v>
      </c>
      <c r="X172" s="20">
        <v>0</v>
      </c>
      <c r="Y172" s="20">
        <v>1</v>
      </c>
      <c r="Z172" s="20">
        <v>0</v>
      </c>
      <c r="AA172" s="15">
        <v>0</v>
      </c>
      <c r="AB172" s="15">
        <v>0</v>
      </c>
      <c r="AC172" s="15">
        <v>0</v>
      </c>
      <c r="AD172" s="15">
        <v>0</v>
      </c>
      <c r="AE172" s="15">
        <v>0</v>
      </c>
      <c r="AF172" s="15">
        <v>1</v>
      </c>
      <c r="AG172" s="15">
        <v>0</v>
      </c>
      <c r="AH172" s="15">
        <v>0</v>
      </c>
      <c r="AI172" s="15">
        <v>0</v>
      </c>
      <c r="AJ172" s="15">
        <v>0</v>
      </c>
      <c r="AK172" s="15">
        <v>0</v>
      </c>
      <c r="AL172" s="15">
        <v>1</v>
      </c>
      <c r="AM172" s="20">
        <v>1</v>
      </c>
      <c r="AN172" s="20">
        <v>0</v>
      </c>
      <c r="AO172" s="20">
        <v>0</v>
      </c>
      <c r="AP172" s="20">
        <v>0</v>
      </c>
      <c r="AQ172" s="20">
        <v>0</v>
      </c>
      <c r="AR172" s="20">
        <v>0</v>
      </c>
      <c r="AS172" s="20">
        <v>0</v>
      </c>
      <c r="AT172" s="20">
        <v>0</v>
      </c>
      <c r="AU172" s="20">
        <v>0</v>
      </c>
      <c r="AV172" s="20">
        <v>0</v>
      </c>
      <c r="AW172" s="20">
        <v>0</v>
      </c>
      <c r="AX172" s="20">
        <v>0</v>
      </c>
    </row>
    <row r="173" spans="1:50" x14ac:dyDescent="0.3">
      <c r="A173" s="11">
        <v>29</v>
      </c>
      <c r="B173" s="11">
        <v>3</v>
      </c>
      <c r="C173" s="15">
        <v>0</v>
      </c>
      <c r="D173" s="15">
        <v>0</v>
      </c>
      <c r="E173" s="15">
        <v>0</v>
      </c>
      <c r="F173" s="15">
        <v>1</v>
      </c>
      <c r="G173" s="15">
        <v>0</v>
      </c>
      <c r="H173" s="15">
        <v>0</v>
      </c>
      <c r="I173" s="15">
        <v>1</v>
      </c>
      <c r="J173" s="15">
        <v>0</v>
      </c>
      <c r="K173" s="15">
        <v>0</v>
      </c>
      <c r="L173" s="15">
        <v>0</v>
      </c>
      <c r="M173" s="15">
        <v>0</v>
      </c>
      <c r="N173" s="15">
        <v>1</v>
      </c>
      <c r="O173" s="20">
        <v>0</v>
      </c>
      <c r="P173" s="20">
        <v>1</v>
      </c>
      <c r="Q173" s="20">
        <v>0</v>
      </c>
      <c r="R173" s="20">
        <v>0</v>
      </c>
      <c r="S173" s="20">
        <v>1</v>
      </c>
      <c r="T173" s="20">
        <v>0</v>
      </c>
      <c r="U173" s="20">
        <v>0</v>
      </c>
      <c r="V173" s="20">
        <v>1</v>
      </c>
      <c r="W173" s="20">
        <v>0</v>
      </c>
      <c r="X173" s="20">
        <v>0</v>
      </c>
      <c r="Y173" s="20">
        <v>0</v>
      </c>
      <c r="Z173" s="20">
        <v>1</v>
      </c>
      <c r="AA173" s="15">
        <v>0</v>
      </c>
      <c r="AB173" s="15">
        <v>0</v>
      </c>
      <c r="AC173" s="15">
        <v>0</v>
      </c>
      <c r="AD173" s="15">
        <v>0</v>
      </c>
      <c r="AE173" s="15">
        <v>0</v>
      </c>
      <c r="AF173" s="15">
        <v>1</v>
      </c>
      <c r="AG173" s="15">
        <v>0</v>
      </c>
      <c r="AH173" s="15">
        <v>0</v>
      </c>
      <c r="AI173" s="15">
        <v>0</v>
      </c>
      <c r="AJ173" s="15">
        <v>0</v>
      </c>
      <c r="AK173" s="15">
        <v>0</v>
      </c>
      <c r="AL173" s="15">
        <v>1</v>
      </c>
      <c r="AM173" s="20">
        <v>1</v>
      </c>
      <c r="AN173" s="20">
        <v>0</v>
      </c>
      <c r="AO173" s="20">
        <v>0</v>
      </c>
      <c r="AP173" s="20">
        <v>0</v>
      </c>
      <c r="AQ173" s="20">
        <v>0</v>
      </c>
      <c r="AR173" s="20">
        <v>0</v>
      </c>
      <c r="AS173" s="20">
        <v>0</v>
      </c>
      <c r="AT173" s="20">
        <v>0</v>
      </c>
      <c r="AU173" s="20">
        <v>0</v>
      </c>
      <c r="AV173" s="20">
        <v>0</v>
      </c>
      <c r="AW173" s="20">
        <v>0</v>
      </c>
      <c r="AX173" s="20">
        <v>0</v>
      </c>
    </row>
    <row r="174" spans="1:50" x14ac:dyDescent="0.3">
      <c r="A174" s="11">
        <v>29</v>
      </c>
      <c r="B174" s="11">
        <v>4</v>
      </c>
      <c r="C174" s="15">
        <v>0</v>
      </c>
      <c r="D174" s="15">
        <v>0</v>
      </c>
      <c r="E174" s="15">
        <v>0</v>
      </c>
      <c r="F174" s="15">
        <v>1</v>
      </c>
      <c r="G174" s="15">
        <v>1</v>
      </c>
      <c r="H174" s="15">
        <v>0</v>
      </c>
      <c r="I174" s="15">
        <v>0</v>
      </c>
      <c r="J174" s="15">
        <v>0</v>
      </c>
      <c r="K174" s="15">
        <v>1</v>
      </c>
      <c r="L174" s="15">
        <v>1</v>
      </c>
      <c r="M174" s="15">
        <v>0</v>
      </c>
      <c r="N174" s="15">
        <v>0</v>
      </c>
      <c r="O174" s="20">
        <v>0</v>
      </c>
      <c r="P174" s="20">
        <v>0</v>
      </c>
      <c r="Q174" s="20">
        <v>1</v>
      </c>
      <c r="R174" s="20">
        <v>0</v>
      </c>
      <c r="S174" s="20">
        <v>0</v>
      </c>
      <c r="T174" s="20">
        <v>1</v>
      </c>
      <c r="U174" s="20">
        <v>0</v>
      </c>
      <c r="V174" s="20">
        <v>0</v>
      </c>
      <c r="W174" s="20">
        <v>1</v>
      </c>
      <c r="X174" s="20">
        <v>0</v>
      </c>
      <c r="Y174" s="20">
        <v>0</v>
      </c>
      <c r="Z174" s="20">
        <v>0</v>
      </c>
      <c r="AA174" s="15">
        <v>0</v>
      </c>
      <c r="AB174" s="15">
        <v>0</v>
      </c>
      <c r="AC174" s="15">
        <v>0</v>
      </c>
      <c r="AD174" s="15">
        <v>0</v>
      </c>
      <c r="AE174" s="15">
        <v>0</v>
      </c>
      <c r="AF174" s="15">
        <v>0</v>
      </c>
      <c r="AG174" s="15">
        <v>0</v>
      </c>
      <c r="AH174" s="15">
        <v>0</v>
      </c>
      <c r="AI174" s="15">
        <v>1</v>
      </c>
      <c r="AJ174" s="15">
        <v>0</v>
      </c>
      <c r="AK174" s="15">
        <v>1</v>
      </c>
      <c r="AL174" s="15">
        <v>0</v>
      </c>
      <c r="AM174" s="20">
        <v>1</v>
      </c>
      <c r="AN174" s="20">
        <v>0</v>
      </c>
      <c r="AO174" s="20">
        <v>0</v>
      </c>
      <c r="AP174" s="20">
        <v>0</v>
      </c>
      <c r="AQ174" s="20">
        <v>0</v>
      </c>
      <c r="AR174" s="20">
        <v>0</v>
      </c>
      <c r="AS174" s="20">
        <v>0</v>
      </c>
      <c r="AT174" s="20">
        <v>0</v>
      </c>
      <c r="AU174" s="20">
        <v>0</v>
      </c>
      <c r="AV174" s="20">
        <v>0</v>
      </c>
      <c r="AW174" s="20">
        <v>0</v>
      </c>
      <c r="AX174" s="20">
        <v>0</v>
      </c>
    </row>
    <row r="175" spans="1:50" x14ac:dyDescent="0.3">
      <c r="A175" s="11">
        <v>29</v>
      </c>
      <c r="B175" s="11">
        <v>5</v>
      </c>
      <c r="C175" s="15">
        <v>0</v>
      </c>
      <c r="D175" s="15">
        <v>0</v>
      </c>
      <c r="E175" s="15">
        <v>0</v>
      </c>
      <c r="F175" s="15">
        <v>1</v>
      </c>
      <c r="G175" s="15">
        <v>0</v>
      </c>
      <c r="H175" s="15">
        <v>1</v>
      </c>
      <c r="I175" s="15">
        <v>0</v>
      </c>
      <c r="J175" s="15">
        <v>1</v>
      </c>
      <c r="K175" s="15">
        <v>0</v>
      </c>
      <c r="L175" s="15">
        <v>0</v>
      </c>
      <c r="M175" s="15">
        <v>1</v>
      </c>
      <c r="N175" s="15">
        <v>0</v>
      </c>
      <c r="O175" s="20">
        <v>0</v>
      </c>
      <c r="P175" s="20">
        <v>0</v>
      </c>
      <c r="Q175" s="20">
        <v>1</v>
      </c>
      <c r="R175" s="20">
        <v>0</v>
      </c>
      <c r="S175" s="20">
        <v>1</v>
      </c>
      <c r="T175" s="20">
        <v>0</v>
      </c>
      <c r="U175" s="20">
        <v>0</v>
      </c>
      <c r="V175" s="20">
        <v>0</v>
      </c>
      <c r="W175" s="20">
        <v>0</v>
      </c>
      <c r="X175" s="20">
        <v>0</v>
      </c>
      <c r="Y175" s="20">
        <v>1</v>
      </c>
      <c r="Z175" s="20">
        <v>0</v>
      </c>
      <c r="AA175" s="15">
        <v>0</v>
      </c>
      <c r="AB175" s="15">
        <v>0</v>
      </c>
      <c r="AC175" s="15">
        <v>0</v>
      </c>
      <c r="AD175" s="15">
        <v>0</v>
      </c>
      <c r="AE175" s="15">
        <v>0</v>
      </c>
      <c r="AF175" s="15">
        <v>0</v>
      </c>
      <c r="AG175" s="15">
        <v>0</v>
      </c>
      <c r="AH175" s="15">
        <v>0</v>
      </c>
      <c r="AI175" s="15">
        <v>1</v>
      </c>
      <c r="AJ175" s="15">
        <v>0</v>
      </c>
      <c r="AK175" s="15">
        <v>1</v>
      </c>
      <c r="AL175" s="15">
        <v>0</v>
      </c>
      <c r="AM175" s="20">
        <v>1</v>
      </c>
      <c r="AN175" s="20">
        <v>0</v>
      </c>
      <c r="AO175" s="20">
        <v>0</v>
      </c>
      <c r="AP175" s="20">
        <v>0</v>
      </c>
      <c r="AQ175" s="20">
        <v>0</v>
      </c>
      <c r="AR175" s="20">
        <v>0</v>
      </c>
      <c r="AS175" s="20">
        <v>0</v>
      </c>
      <c r="AT175" s="20">
        <v>0</v>
      </c>
      <c r="AU175" s="20">
        <v>0</v>
      </c>
      <c r="AV175" s="20">
        <v>0</v>
      </c>
      <c r="AW175" s="20">
        <v>0</v>
      </c>
      <c r="AX175" s="20">
        <v>0</v>
      </c>
    </row>
    <row r="176" spans="1:50" x14ac:dyDescent="0.3">
      <c r="A176" s="11">
        <v>29</v>
      </c>
      <c r="B176" s="11">
        <v>6</v>
      </c>
      <c r="C176" s="15">
        <v>0</v>
      </c>
      <c r="D176" s="15">
        <v>1</v>
      </c>
      <c r="E176" s="15">
        <v>0</v>
      </c>
      <c r="F176" s="15">
        <v>0</v>
      </c>
      <c r="G176" s="15">
        <v>0</v>
      </c>
      <c r="H176" s="15">
        <v>0</v>
      </c>
      <c r="I176" s="15">
        <v>0</v>
      </c>
      <c r="J176" s="15">
        <v>0</v>
      </c>
      <c r="K176" s="15">
        <v>0</v>
      </c>
      <c r="L176" s="15">
        <v>0</v>
      </c>
      <c r="M176" s="15">
        <v>0</v>
      </c>
      <c r="N176" s="15">
        <v>0</v>
      </c>
      <c r="O176" s="20">
        <v>0</v>
      </c>
      <c r="P176" s="20">
        <v>0</v>
      </c>
      <c r="Q176" s="20">
        <v>1</v>
      </c>
      <c r="R176" s="20">
        <v>0</v>
      </c>
      <c r="S176" s="20">
        <v>0</v>
      </c>
      <c r="T176" s="20">
        <v>0</v>
      </c>
      <c r="U176" s="20">
        <v>0</v>
      </c>
      <c r="V176" s="20">
        <v>1</v>
      </c>
      <c r="W176" s="20">
        <v>0</v>
      </c>
      <c r="X176" s="20">
        <v>1</v>
      </c>
      <c r="Y176" s="20">
        <v>0</v>
      </c>
      <c r="Z176" s="20">
        <v>0</v>
      </c>
      <c r="AA176" s="15">
        <v>0</v>
      </c>
      <c r="AB176" s="15">
        <v>0</v>
      </c>
      <c r="AC176" s="15">
        <v>0</v>
      </c>
      <c r="AD176" s="15">
        <v>1</v>
      </c>
      <c r="AE176" s="15">
        <v>0</v>
      </c>
      <c r="AF176" s="15">
        <v>0</v>
      </c>
      <c r="AG176" s="15">
        <v>1</v>
      </c>
      <c r="AH176" s="15">
        <v>0</v>
      </c>
      <c r="AI176" s="15">
        <v>0</v>
      </c>
      <c r="AJ176" s="15">
        <v>0</v>
      </c>
      <c r="AK176" s="15">
        <v>0</v>
      </c>
      <c r="AL176" s="15">
        <v>1</v>
      </c>
      <c r="AM176" s="20">
        <v>1</v>
      </c>
      <c r="AN176" s="20">
        <v>0</v>
      </c>
      <c r="AO176" s="20">
        <v>0</v>
      </c>
      <c r="AP176" s="20">
        <v>0</v>
      </c>
      <c r="AQ176" s="20">
        <v>0</v>
      </c>
      <c r="AR176" s="20">
        <v>0</v>
      </c>
      <c r="AS176" s="20">
        <v>0</v>
      </c>
      <c r="AT176" s="20">
        <v>0</v>
      </c>
      <c r="AU176" s="20">
        <v>0</v>
      </c>
      <c r="AV176" s="20">
        <v>0</v>
      </c>
      <c r="AW176" s="20">
        <v>0</v>
      </c>
      <c r="AX176" s="20">
        <v>0</v>
      </c>
    </row>
    <row r="177" spans="1:50" x14ac:dyDescent="0.3">
      <c r="A177" s="11">
        <v>30</v>
      </c>
      <c r="B177" s="11">
        <v>1</v>
      </c>
      <c r="C177" s="15">
        <v>0</v>
      </c>
      <c r="D177" s="15">
        <v>1</v>
      </c>
      <c r="E177" s="15">
        <v>0</v>
      </c>
      <c r="F177" s="15">
        <v>0</v>
      </c>
      <c r="G177" s="15">
        <v>1</v>
      </c>
      <c r="H177" s="15">
        <v>0</v>
      </c>
      <c r="I177" s="15">
        <v>0</v>
      </c>
      <c r="J177" s="15">
        <v>1</v>
      </c>
      <c r="K177" s="15">
        <v>0</v>
      </c>
      <c r="L177" s="15">
        <v>0</v>
      </c>
      <c r="M177" s="15">
        <v>0</v>
      </c>
      <c r="N177" s="15">
        <v>1</v>
      </c>
      <c r="O177" s="20">
        <v>0</v>
      </c>
      <c r="P177" s="20">
        <v>1</v>
      </c>
      <c r="Q177" s="20">
        <v>0</v>
      </c>
      <c r="R177" s="20">
        <v>0</v>
      </c>
      <c r="S177" s="20">
        <v>0</v>
      </c>
      <c r="T177" s="20">
        <v>1</v>
      </c>
      <c r="U177" s="20">
        <v>1</v>
      </c>
      <c r="V177" s="20">
        <v>0</v>
      </c>
      <c r="W177" s="20">
        <v>0</v>
      </c>
      <c r="X177" s="20">
        <v>1</v>
      </c>
      <c r="Y177" s="20">
        <v>0</v>
      </c>
      <c r="Z177" s="20">
        <v>0</v>
      </c>
      <c r="AA177" s="15">
        <v>0</v>
      </c>
      <c r="AB177" s="15">
        <v>1</v>
      </c>
      <c r="AC177" s="15">
        <v>0</v>
      </c>
      <c r="AD177" s="15">
        <v>0</v>
      </c>
      <c r="AE177" s="15">
        <v>0</v>
      </c>
      <c r="AF177" s="15">
        <v>0</v>
      </c>
      <c r="AG177" s="15">
        <v>0</v>
      </c>
      <c r="AH177" s="15">
        <v>0</v>
      </c>
      <c r="AI177" s="15">
        <v>0</v>
      </c>
      <c r="AJ177" s="15">
        <v>0</v>
      </c>
      <c r="AK177" s="15">
        <v>0</v>
      </c>
      <c r="AL177" s="15">
        <v>0</v>
      </c>
      <c r="AM177" s="20">
        <v>1</v>
      </c>
      <c r="AN177" s="20">
        <v>0</v>
      </c>
      <c r="AO177" s="20">
        <v>0</v>
      </c>
      <c r="AP177" s="20">
        <v>0</v>
      </c>
      <c r="AQ177" s="20">
        <v>0</v>
      </c>
      <c r="AR177" s="20">
        <v>0</v>
      </c>
      <c r="AS177" s="20">
        <v>0</v>
      </c>
      <c r="AT177" s="20">
        <v>0</v>
      </c>
      <c r="AU177" s="20">
        <v>0</v>
      </c>
      <c r="AV177" s="20">
        <v>0</v>
      </c>
      <c r="AW177" s="20">
        <v>0</v>
      </c>
      <c r="AX177" s="20">
        <v>0</v>
      </c>
    </row>
    <row r="178" spans="1:50" x14ac:dyDescent="0.3">
      <c r="A178" s="11">
        <v>30</v>
      </c>
      <c r="B178" s="11">
        <v>2</v>
      </c>
      <c r="C178" s="15">
        <v>0</v>
      </c>
      <c r="D178" s="15">
        <v>0</v>
      </c>
      <c r="E178" s="15">
        <v>1</v>
      </c>
      <c r="F178" s="15">
        <v>0</v>
      </c>
      <c r="G178" s="15">
        <v>0</v>
      </c>
      <c r="H178" s="15">
        <v>1</v>
      </c>
      <c r="I178" s="15">
        <v>0</v>
      </c>
      <c r="J178" s="15">
        <v>0</v>
      </c>
      <c r="K178" s="15">
        <v>1</v>
      </c>
      <c r="L178" s="15">
        <v>0</v>
      </c>
      <c r="M178" s="15">
        <v>0</v>
      </c>
      <c r="N178" s="15">
        <v>0</v>
      </c>
      <c r="O178" s="20">
        <v>0</v>
      </c>
      <c r="P178" s="20">
        <v>0</v>
      </c>
      <c r="Q178" s="20">
        <v>0</v>
      </c>
      <c r="R178" s="20">
        <v>1</v>
      </c>
      <c r="S178" s="20">
        <v>0</v>
      </c>
      <c r="T178" s="20">
        <v>1</v>
      </c>
      <c r="U178" s="20">
        <v>0</v>
      </c>
      <c r="V178" s="20">
        <v>1</v>
      </c>
      <c r="W178" s="20">
        <v>0</v>
      </c>
      <c r="X178" s="20">
        <v>0</v>
      </c>
      <c r="Y178" s="20">
        <v>1</v>
      </c>
      <c r="Z178" s="20">
        <v>0</v>
      </c>
      <c r="AA178" s="15">
        <v>0</v>
      </c>
      <c r="AB178" s="15">
        <v>0</v>
      </c>
      <c r="AC178" s="15">
        <v>0</v>
      </c>
      <c r="AD178" s="15">
        <v>0</v>
      </c>
      <c r="AE178" s="15">
        <v>0</v>
      </c>
      <c r="AF178" s="15">
        <v>1</v>
      </c>
      <c r="AG178" s="15">
        <v>0</v>
      </c>
      <c r="AH178" s="15">
        <v>0</v>
      </c>
      <c r="AI178" s="15">
        <v>0</v>
      </c>
      <c r="AJ178" s="15">
        <v>0</v>
      </c>
      <c r="AK178" s="15">
        <v>0</v>
      </c>
      <c r="AL178" s="15">
        <v>1</v>
      </c>
      <c r="AM178" s="20">
        <v>1</v>
      </c>
      <c r="AN178" s="20">
        <v>0</v>
      </c>
      <c r="AO178" s="20">
        <v>0</v>
      </c>
      <c r="AP178" s="20">
        <v>0</v>
      </c>
      <c r="AQ178" s="20">
        <v>0</v>
      </c>
      <c r="AR178" s="20">
        <v>0</v>
      </c>
      <c r="AS178" s="20">
        <v>0</v>
      </c>
      <c r="AT178" s="20">
        <v>0</v>
      </c>
      <c r="AU178" s="20">
        <v>0</v>
      </c>
      <c r="AV178" s="20">
        <v>0</v>
      </c>
      <c r="AW178" s="20">
        <v>0</v>
      </c>
      <c r="AX178" s="20">
        <v>0</v>
      </c>
    </row>
    <row r="179" spans="1:50" x14ac:dyDescent="0.3">
      <c r="A179" s="11">
        <v>30</v>
      </c>
      <c r="B179" s="11">
        <v>3</v>
      </c>
      <c r="C179" s="15">
        <v>0</v>
      </c>
      <c r="D179" s="15">
        <v>0</v>
      </c>
      <c r="E179" s="15">
        <v>0</v>
      </c>
      <c r="F179" s="15">
        <v>1</v>
      </c>
      <c r="G179" s="15">
        <v>0</v>
      </c>
      <c r="H179" s="15">
        <v>0</v>
      </c>
      <c r="I179" s="15">
        <v>1</v>
      </c>
      <c r="J179" s="15">
        <v>0</v>
      </c>
      <c r="K179" s="15">
        <v>0</v>
      </c>
      <c r="L179" s="15">
        <v>0</v>
      </c>
      <c r="M179" s="15">
        <v>0</v>
      </c>
      <c r="N179" s="15">
        <v>1</v>
      </c>
      <c r="O179" s="20">
        <v>0</v>
      </c>
      <c r="P179" s="20">
        <v>1</v>
      </c>
      <c r="Q179" s="20">
        <v>0</v>
      </c>
      <c r="R179" s="20">
        <v>0</v>
      </c>
      <c r="S179" s="20">
        <v>1</v>
      </c>
      <c r="T179" s="20">
        <v>0</v>
      </c>
      <c r="U179" s="20">
        <v>0</v>
      </c>
      <c r="V179" s="20">
        <v>1</v>
      </c>
      <c r="W179" s="20">
        <v>0</v>
      </c>
      <c r="X179" s="20">
        <v>0</v>
      </c>
      <c r="Y179" s="20">
        <v>0</v>
      </c>
      <c r="Z179" s="20">
        <v>1</v>
      </c>
      <c r="AA179" s="15">
        <v>0</v>
      </c>
      <c r="AB179" s="15">
        <v>0</v>
      </c>
      <c r="AC179" s="15">
        <v>0</v>
      </c>
      <c r="AD179" s="15">
        <v>0</v>
      </c>
      <c r="AE179" s="15">
        <v>0</v>
      </c>
      <c r="AF179" s="15">
        <v>1</v>
      </c>
      <c r="AG179" s="15">
        <v>0</v>
      </c>
      <c r="AH179" s="15">
        <v>0</v>
      </c>
      <c r="AI179" s="15">
        <v>0</v>
      </c>
      <c r="AJ179" s="15">
        <v>0</v>
      </c>
      <c r="AK179" s="15">
        <v>0</v>
      </c>
      <c r="AL179" s="15">
        <v>1</v>
      </c>
      <c r="AM179" s="20">
        <v>1</v>
      </c>
      <c r="AN179" s="20">
        <v>0</v>
      </c>
      <c r="AO179" s="20">
        <v>0</v>
      </c>
      <c r="AP179" s="20">
        <v>0</v>
      </c>
      <c r="AQ179" s="20">
        <v>0</v>
      </c>
      <c r="AR179" s="20">
        <v>0</v>
      </c>
      <c r="AS179" s="20">
        <v>0</v>
      </c>
      <c r="AT179" s="20">
        <v>0</v>
      </c>
      <c r="AU179" s="20">
        <v>0</v>
      </c>
      <c r="AV179" s="20">
        <v>0</v>
      </c>
      <c r="AW179" s="20">
        <v>0</v>
      </c>
      <c r="AX179" s="20">
        <v>0</v>
      </c>
    </row>
    <row r="180" spans="1:50" x14ac:dyDescent="0.3">
      <c r="A180" s="11">
        <v>30</v>
      </c>
      <c r="B180" s="11">
        <v>4</v>
      </c>
      <c r="C180" s="15">
        <v>0</v>
      </c>
      <c r="D180" s="15">
        <v>0</v>
      </c>
      <c r="E180" s="15">
        <v>0</v>
      </c>
      <c r="F180" s="15">
        <v>1</v>
      </c>
      <c r="G180" s="15">
        <v>1</v>
      </c>
      <c r="H180" s="15">
        <v>0</v>
      </c>
      <c r="I180" s="15">
        <v>0</v>
      </c>
      <c r="J180" s="15">
        <v>0</v>
      </c>
      <c r="K180" s="15">
        <v>1</v>
      </c>
      <c r="L180" s="15">
        <v>1</v>
      </c>
      <c r="M180" s="15">
        <v>0</v>
      </c>
      <c r="N180" s="15">
        <v>0</v>
      </c>
      <c r="O180" s="20">
        <v>0</v>
      </c>
      <c r="P180" s="20">
        <v>0</v>
      </c>
      <c r="Q180" s="20">
        <v>1</v>
      </c>
      <c r="R180" s="20">
        <v>0</v>
      </c>
      <c r="S180" s="20">
        <v>0</v>
      </c>
      <c r="T180" s="20">
        <v>1</v>
      </c>
      <c r="U180" s="20">
        <v>0</v>
      </c>
      <c r="V180" s="20">
        <v>0</v>
      </c>
      <c r="W180" s="20">
        <v>1</v>
      </c>
      <c r="X180" s="20">
        <v>0</v>
      </c>
      <c r="Y180" s="20">
        <v>0</v>
      </c>
      <c r="Z180" s="20">
        <v>0</v>
      </c>
      <c r="AA180" s="15">
        <v>0</v>
      </c>
      <c r="AB180" s="15">
        <v>0</v>
      </c>
      <c r="AC180" s="15">
        <v>0</v>
      </c>
      <c r="AD180" s="15">
        <v>0</v>
      </c>
      <c r="AE180" s="15">
        <v>0</v>
      </c>
      <c r="AF180" s="15">
        <v>0</v>
      </c>
      <c r="AG180" s="15">
        <v>0</v>
      </c>
      <c r="AH180" s="15">
        <v>0</v>
      </c>
      <c r="AI180" s="15">
        <v>1</v>
      </c>
      <c r="AJ180" s="15">
        <v>0</v>
      </c>
      <c r="AK180" s="15">
        <v>1</v>
      </c>
      <c r="AL180" s="15">
        <v>0</v>
      </c>
      <c r="AM180" s="20">
        <v>1</v>
      </c>
      <c r="AN180" s="20">
        <v>0</v>
      </c>
      <c r="AO180" s="20">
        <v>0</v>
      </c>
      <c r="AP180" s="20">
        <v>0</v>
      </c>
      <c r="AQ180" s="20">
        <v>0</v>
      </c>
      <c r="AR180" s="20">
        <v>0</v>
      </c>
      <c r="AS180" s="20">
        <v>0</v>
      </c>
      <c r="AT180" s="20">
        <v>0</v>
      </c>
      <c r="AU180" s="20">
        <v>0</v>
      </c>
      <c r="AV180" s="20">
        <v>0</v>
      </c>
      <c r="AW180" s="20">
        <v>0</v>
      </c>
      <c r="AX180" s="20">
        <v>0</v>
      </c>
    </row>
    <row r="181" spans="1:50" x14ac:dyDescent="0.3">
      <c r="A181" s="11">
        <v>30</v>
      </c>
      <c r="B181" s="11">
        <v>5</v>
      </c>
      <c r="C181" s="15">
        <v>0</v>
      </c>
      <c r="D181" s="15">
        <v>0</v>
      </c>
      <c r="E181" s="15">
        <v>0</v>
      </c>
      <c r="F181" s="15">
        <v>1</v>
      </c>
      <c r="G181" s="15">
        <v>0</v>
      </c>
      <c r="H181" s="15">
        <v>1</v>
      </c>
      <c r="I181" s="15">
        <v>0</v>
      </c>
      <c r="J181" s="15">
        <v>1</v>
      </c>
      <c r="K181" s="15">
        <v>0</v>
      </c>
      <c r="L181" s="15">
        <v>0</v>
      </c>
      <c r="M181" s="15">
        <v>1</v>
      </c>
      <c r="N181" s="15">
        <v>0</v>
      </c>
      <c r="O181" s="20">
        <v>0</v>
      </c>
      <c r="P181" s="20">
        <v>0</v>
      </c>
      <c r="Q181" s="20">
        <v>1</v>
      </c>
      <c r="R181" s="20">
        <v>0</v>
      </c>
      <c r="S181" s="20">
        <v>1</v>
      </c>
      <c r="T181" s="20">
        <v>0</v>
      </c>
      <c r="U181" s="20">
        <v>0</v>
      </c>
      <c r="V181" s="20">
        <v>0</v>
      </c>
      <c r="W181" s="20">
        <v>0</v>
      </c>
      <c r="X181" s="20">
        <v>0</v>
      </c>
      <c r="Y181" s="20">
        <v>1</v>
      </c>
      <c r="Z181" s="20">
        <v>0</v>
      </c>
      <c r="AA181" s="15">
        <v>0</v>
      </c>
      <c r="AB181" s="15">
        <v>0</v>
      </c>
      <c r="AC181" s="15">
        <v>0</v>
      </c>
      <c r="AD181" s="15">
        <v>0</v>
      </c>
      <c r="AE181" s="15">
        <v>0</v>
      </c>
      <c r="AF181" s="15">
        <v>0</v>
      </c>
      <c r="AG181" s="15">
        <v>0</v>
      </c>
      <c r="AH181" s="15">
        <v>0</v>
      </c>
      <c r="AI181" s="15">
        <v>1</v>
      </c>
      <c r="AJ181" s="15">
        <v>0</v>
      </c>
      <c r="AK181" s="15">
        <v>1</v>
      </c>
      <c r="AL181" s="15">
        <v>0</v>
      </c>
      <c r="AM181" s="20">
        <v>1</v>
      </c>
      <c r="AN181" s="20">
        <v>0</v>
      </c>
      <c r="AO181" s="20">
        <v>0</v>
      </c>
      <c r="AP181" s="20">
        <v>0</v>
      </c>
      <c r="AQ181" s="20">
        <v>0</v>
      </c>
      <c r="AR181" s="20">
        <v>0</v>
      </c>
      <c r="AS181" s="20">
        <v>0</v>
      </c>
      <c r="AT181" s="20">
        <v>0</v>
      </c>
      <c r="AU181" s="20">
        <v>0</v>
      </c>
      <c r="AV181" s="20">
        <v>0</v>
      </c>
      <c r="AW181" s="20">
        <v>0</v>
      </c>
      <c r="AX181" s="20">
        <v>0</v>
      </c>
    </row>
    <row r="182" spans="1:50" x14ac:dyDescent="0.3">
      <c r="A182" s="11">
        <v>30</v>
      </c>
      <c r="B182" s="11">
        <v>6</v>
      </c>
      <c r="C182" s="15">
        <v>0</v>
      </c>
      <c r="D182" s="15">
        <v>1</v>
      </c>
      <c r="E182" s="15">
        <v>0</v>
      </c>
      <c r="F182" s="15">
        <v>0</v>
      </c>
      <c r="G182" s="15">
        <v>0</v>
      </c>
      <c r="H182" s="15">
        <v>0</v>
      </c>
      <c r="I182" s="15">
        <v>0</v>
      </c>
      <c r="J182" s="15">
        <v>0</v>
      </c>
      <c r="K182" s="15">
        <v>0</v>
      </c>
      <c r="L182" s="15">
        <v>0</v>
      </c>
      <c r="M182" s="15">
        <v>0</v>
      </c>
      <c r="N182" s="15">
        <v>0</v>
      </c>
      <c r="O182" s="20">
        <v>0</v>
      </c>
      <c r="P182" s="20">
        <v>0</v>
      </c>
      <c r="Q182" s="20">
        <v>1</v>
      </c>
      <c r="R182" s="20">
        <v>0</v>
      </c>
      <c r="S182" s="20">
        <v>0</v>
      </c>
      <c r="T182" s="20">
        <v>0</v>
      </c>
      <c r="U182" s="20">
        <v>0</v>
      </c>
      <c r="V182" s="20">
        <v>1</v>
      </c>
      <c r="W182" s="20">
        <v>0</v>
      </c>
      <c r="X182" s="20">
        <v>1</v>
      </c>
      <c r="Y182" s="20">
        <v>0</v>
      </c>
      <c r="Z182" s="20">
        <v>0</v>
      </c>
      <c r="AA182" s="15">
        <v>0</v>
      </c>
      <c r="AB182" s="15">
        <v>0</v>
      </c>
      <c r="AC182" s="15">
        <v>0</v>
      </c>
      <c r="AD182" s="15">
        <v>1</v>
      </c>
      <c r="AE182" s="15">
        <v>0</v>
      </c>
      <c r="AF182" s="15">
        <v>0</v>
      </c>
      <c r="AG182" s="15">
        <v>1</v>
      </c>
      <c r="AH182" s="15">
        <v>0</v>
      </c>
      <c r="AI182" s="15">
        <v>0</v>
      </c>
      <c r="AJ182" s="15">
        <v>0</v>
      </c>
      <c r="AK182" s="15">
        <v>0</v>
      </c>
      <c r="AL182" s="15">
        <v>1</v>
      </c>
      <c r="AM182" s="20">
        <v>1</v>
      </c>
      <c r="AN182" s="20">
        <v>0</v>
      </c>
      <c r="AO182" s="20">
        <v>0</v>
      </c>
      <c r="AP182" s="20">
        <v>0</v>
      </c>
      <c r="AQ182" s="20">
        <v>0</v>
      </c>
      <c r="AR182" s="20">
        <v>0</v>
      </c>
      <c r="AS182" s="20">
        <v>0</v>
      </c>
      <c r="AT182" s="20">
        <v>0</v>
      </c>
      <c r="AU182" s="20">
        <v>0</v>
      </c>
      <c r="AV182" s="20">
        <v>0</v>
      </c>
      <c r="AW182" s="20">
        <v>0</v>
      </c>
      <c r="AX182" s="20">
        <v>0</v>
      </c>
    </row>
    <row r="183" spans="1:50" x14ac:dyDescent="0.3">
      <c r="A183" s="11">
        <v>31</v>
      </c>
      <c r="B183" s="11">
        <v>1</v>
      </c>
      <c r="C183" s="15">
        <v>0</v>
      </c>
      <c r="D183" s="15">
        <v>1</v>
      </c>
      <c r="E183" s="15">
        <v>0</v>
      </c>
      <c r="F183" s="15">
        <v>0</v>
      </c>
      <c r="G183" s="15">
        <v>1</v>
      </c>
      <c r="H183" s="15">
        <v>0</v>
      </c>
      <c r="I183" s="15">
        <v>0</v>
      </c>
      <c r="J183" s="15">
        <v>1</v>
      </c>
      <c r="K183" s="15">
        <v>0</v>
      </c>
      <c r="L183" s="15">
        <v>0</v>
      </c>
      <c r="M183" s="15">
        <v>0</v>
      </c>
      <c r="N183" s="15">
        <v>1</v>
      </c>
      <c r="O183" s="20">
        <v>0</v>
      </c>
      <c r="P183" s="20">
        <v>1</v>
      </c>
      <c r="Q183" s="20">
        <v>0</v>
      </c>
      <c r="R183" s="20">
        <v>0</v>
      </c>
      <c r="S183" s="20">
        <v>0</v>
      </c>
      <c r="T183" s="20">
        <v>1</v>
      </c>
      <c r="U183" s="20">
        <v>1</v>
      </c>
      <c r="V183" s="20">
        <v>0</v>
      </c>
      <c r="W183" s="20">
        <v>0</v>
      </c>
      <c r="X183" s="20">
        <v>1</v>
      </c>
      <c r="Y183" s="20">
        <v>0</v>
      </c>
      <c r="Z183" s="20">
        <v>0</v>
      </c>
      <c r="AA183" s="15">
        <v>0</v>
      </c>
      <c r="AB183" s="15">
        <v>1</v>
      </c>
      <c r="AC183" s="15">
        <v>0</v>
      </c>
      <c r="AD183" s="15">
        <v>0</v>
      </c>
      <c r="AE183" s="15">
        <v>0</v>
      </c>
      <c r="AF183" s="15">
        <v>0</v>
      </c>
      <c r="AG183" s="15">
        <v>0</v>
      </c>
      <c r="AH183" s="15">
        <v>0</v>
      </c>
      <c r="AI183" s="15">
        <v>0</v>
      </c>
      <c r="AJ183" s="15">
        <v>0</v>
      </c>
      <c r="AK183" s="15">
        <v>0</v>
      </c>
      <c r="AL183" s="15">
        <v>0</v>
      </c>
      <c r="AM183" s="20">
        <v>1</v>
      </c>
      <c r="AN183" s="20">
        <v>0</v>
      </c>
      <c r="AO183" s="20">
        <v>0</v>
      </c>
      <c r="AP183" s="20">
        <v>0</v>
      </c>
      <c r="AQ183" s="20">
        <v>0</v>
      </c>
      <c r="AR183" s="20">
        <v>0</v>
      </c>
      <c r="AS183" s="20">
        <v>0</v>
      </c>
      <c r="AT183" s="20">
        <v>0</v>
      </c>
      <c r="AU183" s="20">
        <v>0</v>
      </c>
      <c r="AV183" s="20">
        <v>0</v>
      </c>
      <c r="AW183" s="20">
        <v>0</v>
      </c>
      <c r="AX183" s="20">
        <v>0</v>
      </c>
    </row>
    <row r="184" spans="1:50" x14ac:dyDescent="0.3">
      <c r="A184" s="11">
        <v>31</v>
      </c>
      <c r="B184" s="11">
        <v>2</v>
      </c>
      <c r="C184" s="15">
        <v>0</v>
      </c>
      <c r="D184" s="15">
        <v>0</v>
      </c>
      <c r="E184" s="15">
        <v>1</v>
      </c>
      <c r="F184" s="15">
        <v>0</v>
      </c>
      <c r="G184" s="15">
        <v>0</v>
      </c>
      <c r="H184" s="15">
        <v>1</v>
      </c>
      <c r="I184" s="15">
        <v>0</v>
      </c>
      <c r="J184" s="15">
        <v>0</v>
      </c>
      <c r="K184" s="15">
        <v>1</v>
      </c>
      <c r="L184" s="15">
        <v>0</v>
      </c>
      <c r="M184" s="15">
        <v>0</v>
      </c>
      <c r="N184" s="15">
        <v>0</v>
      </c>
      <c r="O184" s="20">
        <v>0</v>
      </c>
      <c r="P184" s="20">
        <v>0</v>
      </c>
      <c r="Q184" s="20">
        <v>0</v>
      </c>
      <c r="R184" s="20">
        <v>1</v>
      </c>
      <c r="S184" s="20">
        <v>0</v>
      </c>
      <c r="T184" s="20">
        <v>1</v>
      </c>
      <c r="U184" s="20">
        <v>0</v>
      </c>
      <c r="V184" s="20">
        <v>1</v>
      </c>
      <c r="W184" s="20">
        <v>0</v>
      </c>
      <c r="X184" s="20">
        <v>0</v>
      </c>
      <c r="Y184" s="20">
        <v>1</v>
      </c>
      <c r="Z184" s="20">
        <v>0</v>
      </c>
      <c r="AA184" s="15">
        <v>0</v>
      </c>
      <c r="AB184" s="15">
        <v>0</v>
      </c>
      <c r="AC184" s="15">
        <v>0</v>
      </c>
      <c r="AD184" s="15">
        <v>0</v>
      </c>
      <c r="AE184" s="15">
        <v>0</v>
      </c>
      <c r="AF184" s="15">
        <v>1</v>
      </c>
      <c r="AG184" s="15">
        <v>0</v>
      </c>
      <c r="AH184" s="15">
        <v>0</v>
      </c>
      <c r="AI184" s="15">
        <v>0</v>
      </c>
      <c r="AJ184" s="15">
        <v>0</v>
      </c>
      <c r="AK184" s="15">
        <v>0</v>
      </c>
      <c r="AL184" s="15">
        <v>1</v>
      </c>
      <c r="AM184" s="20">
        <v>1</v>
      </c>
      <c r="AN184" s="20">
        <v>0</v>
      </c>
      <c r="AO184" s="20">
        <v>0</v>
      </c>
      <c r="AP184" s="20">
        <v>0</v>
      </c>
      <c r="AQ184" s="20">
        <v>0</v>
      </c>
      <c r="AR184" s="20">
        <v>0</v>
      </c>
      <c r="AS184" s="20">
        <v>0</v>
      </c>
      <c r="AT184" s="20">
        <v>0</v>
      </c>
      <c r="AU184" s="20">
        <v>0</v>
      </c>
      <c r="AV184" s="20">
        <v>0</v>
      </c>
      <c r="AW184" s="20">
        <v>0</v>
      </c>
      <c r="AX184" s="20">
        <v>0</v>
      </c>
    </row>
    <row r="185" spans="1:50" x14ac:dyDescent="0.3">
      <c r="A185" s="11">
        <v>31</v>
      </c>
      <c r="B185" s="11">
        <v>3</v>
      </c>
      <c r="C185" s="15">
        <v>0</v>
      </c>
      <c r="D185" s="15">
        <v>0</v>
      </c>
      <c r="E185" s="15">
        <v>0</v>
      </c>
      <c r="F185" s="15">
        <v>1</v>
      </c>
      <c r="G185" s="15">
        <v>0</v>
      </c>
      <c r="H185" s="15">
        <v>0</v>
      </c>
      <c r="I185" s="15">
        <v>1</v>
      </c>
      <c r="J185" s="15">
        <v>0</v>
      </c>
      <c r="K185" s="15">
        <v>0</v>
      </c>
      <c r="L185" s="15">
        <v>0</v>
      </c>
      <c r="M185" s="15">
        <v>0</v>
      </c>
      <c r="N185" s="15">
        <v>1</v>
      </c>
      <c r="O185" s="20">
        <v>0</v>
      </c>
      <c r="P185" s="20">
        <v>1</v>
      </c>
      <c r="Q185" s="20">
        <v>0</v>
      </c>
      <c r="R185" s="20">
        <v>0</v>
      </c>
      <c r="S185" s="20">
        <v>1</v>
      </c>
      <c r="T185" s="20">
        <v>0</v>
      </c>
      <c r="U185" s="20">
        <v>0</v>
      </c>
      <c r="V185" s="20">
        <v>1</v>
      </c>
      <c r="W185" s="20">
        <v>0</v>
      </c>
      <c r="X185" s="20">
        <v>0</v>
      </c>
      <c r="Y185" s="20">
        <v>0</v>
      </c>
      <c r="Z185" s="20">
        <v>1</v>
      </c>
      <c r="AA185" s="15">
        <v>0</v>
      </c>
      <c r="AB185" s="15">
        <v>0</v>
      </c>
      <c r="AC185" s="15">
        <v>0</v>
      </c>
      <c r="AD185" s="15">
        <v>0</v>
      </c>
      <c r="AE185" s="15">
        <v>0</v>
      </c>
      <c r="AF185" s="15">
        <v>1</v>
      </c>
      <c r="AG185" s="15">
        <v>0</v>
      </c>
      <c r="AH185" s="15">
        <v>0</v>
      </c>
      <c r="AI185" s="15">
        <v>0</v>
      </c>
      <c r="AJ185" s="15">
        <v>0</v>
      </c>
      <c r="AK185" s="15">
        <v>0</v>
      </c>
      <c r="AL185" s="15">
        <v>1</v>
      </c>
      <c r="AM185" s="20">
        <v>1</v>
      </c>
      <c r="AN185" s="20">
        <v>0</v>
      </c>
      <c r="AO185" s="20">
        <v>0</v>
      </c>
      <c r="AP185" s="20">
        <v>0</v>
      </c>
      <c r="AQ185" s="20">
        <v>0</v>
      </c>
      <c r="AR185" s="20">
        <v>0</v>
      </c>
      <c r="AS185" s="20">
        <v>0</v>
      </c>
      <c r="AT185" s="20">
        <v>0</v>
      </c>
      <c r="AU185" s="20">
        <v>0</v>
      </c>
      <c r="AV185" s="20">
        <v>0</v>
      </c>
      <c r="AW185" s="20">
        <v>0</v>
      </c>
      <c r="AX185" s="20">
        <v>0</v>
      </c>
    </row>
    <row r="186" spans="1:50" x14ac:dyDescent="0.3">
      <c r="A186" s="11">
        <v>31</v>
      </c>
      <c r="B186" s="11">
        <v>4</v>
      </c>
      <c r="C186" s="15">
        <v>0</v>
      </c>
      <c r="D186" s="15">
        <v>0</v>
      </c>
      <c r="E186" s="15">
        <v>0</v>
      </c>
      <c r="F186" s="15">
        <v>1</v>
      </c>
      <c r="G186" s="15">
        <v>1</v>
      </c>
      <c r="H186" s="15">
        <v>0</v>
      </c>
      <c r="I186" s="15">
        <v>0</v>
      </c>
      <c r="J186" s="15">
        <v>0</v>
      </c>
      <c r="K186" s="15">
        <v>1</v>
      </c>
      <c r="L186" s="15">
        <v>1</v>
      </c>
      <c r="M186" s="15">
        <v>0</v>
      </c>
      <c r="N186" s="15">
        <v>0</v>
      </c>
      <c r="O186" s="20">
        <v>0</v>
      </c>
      <c r="P186" s="20">
        <v>0</v>
      </c>
      <c r="Q186" s="20">
        <v>1</v>
      </c>
      <c r="R186" s="20">
        <v>0</v>
      </c>
      <c r="S186" s="20">
        <v>0</v>
      </c>
      <c r="T186" s="20">
        <v>1</v>
      </c>
      <c r="U186" s="20">
        <v>0</v>
      </c>
      <c r="V186" s="20">
        <v>0</v>
      </c>
      <c r="W186" s="20">
        <v>1</v>
      </c>
      <c r="X186" s="20">
        <v>0</v>
      </c>
      <c r="Y186" s="20">
        <v>0</v>
      </c>
      <c r="Z186" s="20">
        <v>0</v>
      </c>
      <c r="AA186" s="15">
        <v>0</v>
      </c>
      <c r="AB186" s="15">
        <v>0</v>
      </c>
      <c r="AC186" s="15">
        <v>0</v>
      </c>
      <c r="AD186" s="15">
        <v>0</v>
      </c>
      <c r="AE186" s="15">
        <v>0</v>
      </c>
      <c r="AF186" s="15">
        <v>0</v>
      </c>
      <c r="AG186" s="15">
        <v>0</v>
      </c>
      <c r="AH186" s="15">
        <v>0</v>
      </c>
      <c r="AI186" s="15">
        <v>1</v>
      </c>
      <c r="AJ186" s="15">
        <v>0</v>
      </c>
      <c r="AK186" s="15">
        <v>1</v>
      </c>
      <c r="AL186" s="15">
        <v>0</v>
      </c>
      <c r="AM186" s="20">
        <v>1</v>
      </c>
      <c r="AN186" s="20">
        <v>0</v>
      </c>
      <c r="AO186" s="20">
        <v>0</v>
      </c>
      <c r="AP186" s="20">
        <v>0</v>
      </c>
      <c r="AQ186" s="20">
        <v>0</v>
      </c>
      <c r="AR186" s="20">
        <v>0</v>
      </c>
      <c r="AS186" s="20">
        <v>0</v>
      </c>
      <c r="AT186" s="20">
        <v>0</v>
      </c>
      <c r="AU186" s="20">
        <v>0</v>
      </c>
      <c r="AV186" s="20">
        <v>0</v>
      </c>
      <c r="AW186" s="20">
        <v>0</v>
      </c>
      <c r="AX186" s="20">
        <v>0</v>
      </c>
    </row>
    <row r="187" spans="1:50" x14ac:dyDescent="0.3">
      <c r="A187" s="11">
        <v>31</v>
      </c>
      <c r="B187" s="11">
        <v>5</v>
      </c>
      <c r="C187" s="15">
        <v>0</v>
      </c>
      <c r="D187" s="15">
        <v>0</v>
      </c>
      <c r="E187" s="15">
        <v>0</v>
      </c>
      <c r="F187" s="15">
        <v>1</v>
      </c>
      <c r="G187" s="15">
        <v>0</v>
      </c>
      <c r="H187" s="15">
        <v>1</v>
      </c>
      <c r="I187" s="15">
        <v>0</v>
      </c>
      <c r="J187" s="15">
        <v>1</v>
      </c>
      <c r="K187" s="15">
        <v>0</v>
      </c>
      <c r="L187" s="15">
        <v>0</v>
      </c>
      <c r="M187" s="15">
        <v>1</v>
      </c>
      <c r="N187" s="15">
        <v>0</v>
      </c>
      <c r="O187" s="20">
        <v>0</v>
      </c>
      <c r="P187" s="20">
        <v>0</v>
      </c>
      <c r="Q187" s="20">
        <v>1</v>
      </c>
      <c r="R187" s="20">
        <v>0</v>
      </c>
      <c r="S187" s="20">
        <v>1</v>
      </c>
      <c r="T187" s="20">
        <v>0</v>
      </c>
      <c r="U187" s="20">
        <v>0</v>
      </c>
      <c r="V187" s="20">
        <v>0</v>
      </c>
      <c r="W187" s="20">
        <v>0</v>
      </c>
      <c r="X187" s="20">
        <v>0</v>
      </c>
      <c r="Y187" s="20">
        <v>1</v>
      </c>
      <c r="Z187" s="20">
        <v>0</v>
      </c>
      <c r="AA187" s="15">
        <v>0</v>
      </c>
      <c r="AB187" s="15">
        <v>0</v>
      </c>
      <c r="AC187" s="15">
        <v>0</v>
      </c>
      <c r="AD187" s="15">
        <v>0</v>
      </c>
      <c r="AE187" s="15">
        <v>0</v>
      </c>
      <c r="AF187" s="15">
        <v>0</v>
      </c>
      <c r="AG187" s="15">
        <v>0</v>
      </c>
      <c r="AH187" s="15">
        <v>0</v>
      </c>
      <c r="AI187" s="15">
        <v>1</v>
      </c>
      <c r="AJ187" s="15">
        <v>0</v>
      </c>
      <c r="AK187" s="15">
        <v>1</v>
      </c>
      <c r="AL187" s="15">
        <v>0</v>
      </c>
      <c r="AM187" s="20">
        <v>1</v>
      </c>
      <c r="AN187" s="20">
        <v>0</v>
      </c>
      <c r="AO187" s="20">
        <v>0</v>
      </c>
      <c r="AP187" s="20">
        <v>0</v>
      </c>
      <c r="AQ187" s="20">
        <v>0</v>
      </c>
      <c r="AR187" s="20">
        <v>0</v>
      </c>
      <c r="AS187" s="20">
        <v>0</v>
      </c>
      <c r="AT187" s="20">
        <v>0</v>
      </c>
      <c r="AU187" s="20">
        <v>0</v>
      </c>
      <c r="AV187" s="20">
        <v>0</v>
      </c>
      <c r="AW187" s="20">
        <v>0</v>
      </c>
      <c r="AX187" s="20">
        <v>0</v>
      </c>
    </row>
    <row r="188" spans="1:50" x14ac:dyDescent="0.3">
      <c r="A188" s="11">
        <v>31</v>
      </c>
      <c r="B188" s="11">
        <v>6</v>
      </c>
      <c r="C188" s="15">
        <v>0</v>
      </c>
      <c r="D188" s="15">
        <v>1</v>
      </c>
      <c r="E188" s="15">
        <v>0</v>
      </c>
      <c r="F188" s="15">
        <v>0</v>
      </c>
      <c r="G188" s="15">
        <v>0</v>
      </c>
      <c r="H188" s="15">
        <v>0</v>
      </c>
      <c r="I188" s="15">
        <v>0</v>
      </c>
      <c r="J188" s="15">
        <v>0</v>
      </c>
      <c r="K188" s="15">
        <v>0</v>
      </c>
      <c r="L188" s="15">
        <v>0</v>
      </c>
      <c r="M188" s="15">
        <v>0</v>
      </c>
      <c r="N188" s="15">
        <v>0</v>
      </c>
      <c r="O188" s="20">
        <v>0</v>
      </c>
      <c r="P188" s="20">
        <v>0</v>
      </c>
      <c r="Q188" s="20">
        <v>1</v>
      </c>
      <c r="R188" s="20">
        <v>0</v>
      </c>
      <c r="S188" s="20">
        <v>0</v>
      </c>
      <c r="T188" s="20">
        <v>0</v>
      </c>
      <c r="U188" s="20">
        <v>0</v>
      </c>
      <c r="V188" s="20">
        <v>1</v>
      </c>
      <c r="W188" s="20">
        <v>0</v>
      </c>
      <c r="X188" s="20">
        <v>1</v>
      </c>
      <c r="Y188" s="20">
        <v>0</v>
      </c>
      <c r="Z188" s="20">
        <v>0</v>
      </c>
      <c r="AA188" s="15">
        <v>0</v>
      </c>
      <c r="AB188" s="15">
        <v>0</v>
      </c>
      <c r="AC188" s="15">
        <v>0</v>
      </c>
      <c r="AD188" s="15">
        <v>1</v>
      </c>
      <c r="AE188" s="15">
        <v>0</v>
      </c>
      <c r="AF188" s="15">
        <v>0</v>
      </c>
      <c r="AG188" s="15">
        <v>1</v>
      </c>
      <c r="AH188" s="15">
        <v>0</v>
      </c>
      <c r="AI188" s="15">
        <v>0</v>
      </c>
      <c r="AJ188" s="15">
        <v>0</v>
      </c>
      <c r="AK188" s="15">
        <v>0</v>
      </c>
      <c r="AL188" s="15">
        <v>1</v>
      </c>
      <c r="AM188" s="20">
        <v>1</v>
      </c>
      <c r="AN188" s="20">
        <v>0</v>
      </c>
      <c r="AO188" s="20">
        <v>0</v>
      </c>
      <c r="AP188" s="20">
        <v>0</v>
      </c>
      <c r="AQ188" s="20">
        <v>0</v>
      </c>
      <c r="AR188" s="20">
        <v>0</v>
      </c>
      <c r="AS188" s="20">
        <v>0</v>
      </c>
      <c r="AT188" s="20">
        <v>0</v>
      </c>
      <c r="AU188" s="20">
        <v>0</v>
      </c>
      <c r="AV188" s="20">
        <v>0</v>
      </c>
      <c r="AW188" s="20">
        <v>0</v>
      </c>
      <c r="AX188" s="20">
        <v>0</v>
      </c>
    </row>
    <row r="189" spans="1:50" x14ac:dyDescent="0.3">
      <c r="A189" s="11">
        <v>32</v>
      </c>
      <c r="B189" s="11">
        <v>1</v>
      </c>
      <c r="C189" s="15">
        <v>0</v>
      </c>
      <c r="D189" s="15">
        <v>1</v>
      </c>
      <c r="E189" s="15">
        <v>0</v>
      </c>
      <c r="F189" s="15">
        <v>0</v>
      </c>
      <c r="G189" s="15">
        <v>1</v>
      </c>
      <c r="H189" s="15">
        <v>0</v>
      </c>
      <c r="I189" s="15">
        <v>0</v>
      </c>
      <c r="J189" s="15">
        <v>1</v>
      </c>
      <c r="K189" s="15">
        <v>0</v>
      </c>
      <c r="L189" s="15">
        <v>0</v>
      </c>
      <c r="M189" s="15">
        <v>0</v>
      </c>
      <c r="N189" s="15">
        <v>1</v>
      </c>
      <c r="O189" s="20">
        <v>0</v>
      </c>
      <c r="P189" s="20">
        <v>1</v>
      </c>
      <c r="Q189" s="20">
        <v>0</v>
      </c>
      <c r="R189" s="20">
        <v>0</v>
      </c>
      <c r="S189" s="20">
        <v>0</v>
      </c>
      <c r="T189" s="20">
        <v>1</v>
      </c>
      <c r="U189" s="20">
        <v>1</v>
      </c>
      <c r="V189" s="20">
        <v>0</v>
      </c>
      <c r="W189" s="20">
        <v>0</v>
      </c>
      <c r="X189" s="20">
        <v>1</v>
      </c>
      <c r="Y189" s="20">
        <v>0</v>
      </c>
      <c r="Z189" s="20">
        <v>0</v>
      </c>
      <c r="AA189" s="15">
        <v>0</v>
      </c>
      <c r="AB189" s="15">
        <v>1</v>
      </c>
      <c r="AC189" s="15">
        <v>0</v>
      </c>
      <c r="AD189" s="15">
        <v>0</v>
      </c>
      <c r="AE189" s="15">
        <v>0</v>
      </c>
      <c r="AF189" s="15">
        <v>0</v>
      </c>
      <c r="AG189" s="15">
        <v>0</v>
      </c>
      <c r="AH189" s="15">
        <v>0</v>
      </c>
      <c r="AI189" s="15">
        <v>0</v>
      </c>
      <c r="AJ189" s="15">
        <v>0</v>
      </c>
      <c r="AK189" s="15">
        <v>0</v>
      </c>
      <c r="AL189" s="15">
        <v>0</v>
      </c>
      <c r="AM189" s="20">
        <v>1</v>
      </c>
      <c r="AN189" s="20">
        <v>0</v>
      </c>
      <c r="AO189" s="20">
        <v>0</v>
      </c>
      <c r="AP189" s="20">
        <v>0</v>
      </c>
      <c r="AQ189" s="20">
        <v>0</v>
      </c>
      <c r="AR189" s="20">
        <v>0</v>
      </c>
      <c r="AS189" s="20">
        <v>0</v>
      </c>
      <c r="AT189" s="20">
        <v>0</v>
      </c>
      <c r="AU189" s="20">
        <v>0</v>
      </c>
      <c r="AV189" s="20">
        <v>0</v>
      </c>
      <c r="AW189" s="20">
        <v>0</v>
      </c>
      <c r="AX189" s="20">
        <v>0</v>
      </c>
    </row>
    <row r="190" spans="1:50" x14ac:dyDescent="0.3">
      <c r="A190" s="11">
        <v>32</v>
      </c>
      <c r="B190" s="11">
        <v>2</v>
      </c>
      <c r="C190" s="15">
        <v>0</v>
      </c>
      <c r="D190" s="15">
        <v>0</v>
      </c>
      <c r="E190" s="15">
        <v>1</v>
      </c>
      <c r="F190" s="15">
        <v>0</v>
      </c>
      <c r="G190" s="15">
        <v>0</v>
      </c>
      <c r="H190" s="15">
        <v>1</v>
      </c>
      <c r="I190" s="15">
        <v>0</v>
      </c>
      <c r="J190" s="15">
        <v>0</v>
      </c>
      <c r="K190" s="15">
        <v>1</v>
      </c>
      <c r="L190" s="15">
        <v>0</v>
      </c>
      <c r="M190" s="15">
        <v>0</v>
      </c>
      <c r="N190" s="15">
        <v>0</v>
      </c>
      <c r="O190" s="20">
        <v>0</v>
      </c>
      <c r="P190" s="20">
        <v>0</v>
      </c>
      <c r="Q190" s="20">
        <v>0</v>
      </c>
      <c r="R190" s="20">
        <v>1</v>
      </c>
      <c r="S190" s="20">
        <v>0</v>
      </c>
      <c r="T190" s="20">
        <v>1</v>
      </c>
      <c r="U190" s="20">
        <v>0</v>
      </c>
      <c r="V190" s="20">
        <v>1</v>
      </c>
      <c r="W190" s="20">
        <v>0</v>
      </c>
      <c r="X190" s="20">
        <v>0</v>
      </c>
      <c r="Y190" s="20">
        <v>1</v>
      </c>
      <c r="Z190" s="20">
        <v>0</v>
      </c>
      <c r="AA190" s="15">
        <v>0</v>
      </c>
      <c r="AB190" s="15">
        <v>0</v>
      </c>
      <c r="AC190" s="15">
        <v>0</v>
      </c>
      <c r="AD190" s="15">
        <v>0</v>
      </c>
      <c r="AE190" s="15">
        <v>0</v>
      </c>
      <c r="AF190" s="15">
        <v>1</v>
      </c>
      <c r="AG190" s="15">
        <v>0</v>
      </c>
      <c r="AH190" s="15">
        <v>0</v>
      </c>
      <c r="AI190" s="15">
        <v>0</v>
      </c>
      <c r="AJ190" s="15">
        <v>0</v>
      </c>
      <c r="AK190" s="15">
        <v>0</v>
      </c>
      <c r="AL190" s="15">
        <v>1</v>
      </c>
      <c r="AM190" s="20">
        <v>1</v>
      </c>
      <c r="AN190" s="20">
        <v>0</v>
      </c>
      <c r="AO190" s="20">
        <v>0</v>
      </c>
      <c r="AP190" s="20">
        <v>0</v>
      </c>
      <c r="AQ190" s="20">
        <v>0</v>
      </c>
      <c r="AR190" s="20">
        <v>0</v>
      </c>
      <c r="AS190" s="20">
        <v>0</v>
      </c>
      <c r="AT190" s="20">
        <v>0</v>
      </c>
      <c r="AU190" s="20">
        <v>0</v>
      </c>
      <c r="AV190" s="20">
        <v>0</v>
      </c>
      <c r="AW190" s="20">
        <v>0</v>
      </c>
      <c r="AX190" s="20">
        <v>0</v>
      </c>
    </row>
    <row r="191" spans="1:50" x14ac:dyDescent="0.3">
      <c r="A191" s="11">
        <v>32</v>
      </c>
      <c r="B191" s="11">
        <v>3</v>
      </c>
      <c r="C191" s="15">
        <v>0</v>
      </c>
      <c r="D191" s="15">
        <v>0</v>
      </c>
      <c r="E191" s="15">
        <v>0</v>
      </c>
      <c r="F191" s="15">
        <v>1</v>
      </c>
      <c r="G191" s="15">
        <v>0</v>
      </c>
      <c r="H191" s="15">
        <v>0</v>
      </c>
      <c r="I191" s="15">
        <v>1</v>
      </c>
      <c r="J191" s="15">
        <v>0</v>
      </c>
      <c r="K191" s="15">
        <v>0</v>
      </c>
      <c r="L191" s="15">
        <v>0</v>
      </c>
      <c r="M191" s="15">
        <v>0</v>
      </c>
      <c r="N191" s="15">
        <v>1</v>
      </c>
      <c r="O191" s="20">
        <v>0</v>
      </c>
      <c r="P191" s="20">
        <v>1</v>
      </c>
      <c r="Q191" s="20">
        <v>0</v>
      </c>
      <c r="R191" s="20">
        <v>0</v>
      </c>
      <c r="S191" s="20">
        <v>1</v>
      </c>
      <c r="T191" s="20">
        <v>0</v>
      </c>
      <c r="U191" s="20">
        <v>0</v>
      </c>
      <c r="V191" s="20">
        <v>1</v>
      </c>
      <c r="W191" s="20">
        <v>0</v>
      </c>
      <c r="X191" s="20">
        <v>0</v>
      </c>
      <c r="Y191" s="20">
        <v>0</v>
      </c>
      <c r="Z191" s="20">
        <v>1</v>
      </c>
      <c r="AA191" s="15">
        <v>0</v>
      </c>
      <c r="AB191" s="15">
        <v>0</v>
      </c>
      <c r="AC191" s="15">
        <v>0</v>
      </c>
      <c r="AD191" s="15">
        <v>0</v>
      </c>
      <c r="AE191" s="15">
        <v>0</v>
      </c>
      <c r="AF191" s="15">
        <v>1</v>
      </c>
      <c r="AG191" s="15">
        <v>0</v>
      </c>
      <c r="AH191" s="15">
        <v>0</v>
      </c>
      <c r="AI191" s="15">
        <v>0</v>
      </c>
      <c r="AJ191" s="15">
        <v>0</v>
      </c>
      <c r="AK191" s="15">
        <v>0</v>
      </c>
      <c r="AL191" s="15">
        <v>1</v>
      </c>
      <c r="AM191" s="20">
        <v>1</v>
      </c>
      <c r="AN191" s="20">
        <v>0</v>
      </c>
      <c r="AO191" s="20">
        <v>0</v>
      </c>
      <c r="AP191" s="20">
        <v>0</v>
      </c>
      <c r="AQ191" s="20">
        <v>0</v>
      </c>
      <c r="AR191" s="20">
        <v>0</v>
      </c>
      <c r="AS191" s="20">
        <v>0</v>
      </c>
      <c r="AT191" s="20">
        <v>0</v>
      </c>
      <c r="AU191" s="20">
        <v>0</v>
      </c>
      <c r="AV191" s="20">
        <v>0</v>
      </c>
      <c r="AW191" s="20">
        <v>0</v>
      </c>
      <c r="AX191" s="20">
        <v>0</v>
      </c>
    </row>
    <row r="192" spans="1:50" x14ac:dyDescent="0.3">
      <c r="A192" s="11">
        <v>32</v>
      </c>
      <c r="B192" s="11">
        <v>4</v>
      </c>
      <c r="C192" s="15">
        <v>0</v>
      </c>
      <c r="D192" s="15">
        <v>0</v>
      </c>
      <c r="E192" s="15">
        <v>0</v>
      </c>
      <c r="F192" s="15">
        <v>1</v>
      </c>
      <c r="G192" s="15">
        <v>1</v>
      </c>
      <c r="H192" s="15">
        <v>0</v>
      </c>
      <c r="I192" s="15">
        <v>0</v>
      </c>
      <c r="J192" s="15">
        <v>0</v>
      </c>
      <c r="K192" s="15">
        <v>1</v>
      </c>
      <c r="L192" s="15">
        <v>1</v>
      </c>
      <c r="M192" s="15">
        <v>0</v>
      </c>
      <c r="N192" s="15">
        <v>0</v>
      </c>
      <c r="O192" s="20">
        <v>0</v>
      </c>
      <c r="P192" s="20">
        <v>0</v>
      </c>
      <c r="Q192" s="20">
        <v>1</v>
      </c>
      <c r="R192" s="20">
        <v>0</v>
      </c>
      <c r="S192" s="20">
        <v>0</v>
      </c>
      <c r="T192" s="20">
        <v>1</v>
      </c>
      <c r="U192" s="20">
        <v>0</v>
      </c>
      <c r="V192" s="20">
        <v>0</v>
      </c>
      <c r="W192" s="20">
        <v>1</v>
      </c>
      <c r="X192" s="20">
        <v>0</v>
      </c>
      <c r="Y192" s="20">
        <v>0</v>
      </c>
      <c r="Z192" s="20">
        <v>0</v>
      </c>
      <c r="AA192" s="15">
        <v>0</v>
      </c>
      <c r="AB192" s="15">
        <v>0</v>
      </c>
      <c r="AC192" s="15">
        <v>0</v>
      </c>
      <c r="AD192" s="15">
        <v>0</v>
      </c>
      <c r="AE192" s="15">
        <v>0</v>
      </c>
      <c r="AF192" s="15">
        <v>0</v>
      </c>
      <c r="AG192" s="15">
        <v>0</v>
      </c>
      <c r="AH192" s="15">
        <v>0</v>
      </c>
      <c r="AI192" s="15">
        <v>1</v>
      </c>
      <c r="AJ192" s="15">
        <v>0</v>
      </c>
      <c r="AK192" s="15">
        <v>1</v>
      </c>
      <c r="AL192" s="15">
        <v>0</v>
      </c>
      <c r="AM192" s="20">
        <v>1</v>
      </c>
      <c r="AN192" s="20">
        <v>0</v>
      </c>
      <c r="AO192" s="20">
        <v>0</v>
      </c>
      <c r="AP192" s="20">
        <v>0</v>
      </c>
      <c r="AQ192" s="20">
        <v>0</v>
      </c>
      <c r="AR192" s="20">
        <v>0</v>
      </c>
      <c r="AS192" s="20">
        <v>0</v>
      </c>
      <c r="AT192" s="20">
        <v>0</v>
      </c>
      <c r="AU192" s="20">
        <v>0</v>
      </c>
      <c r="AV192" s="20">
        <v>0</v>
      </c>
      <c r="AW192" s="20">
        <v>0</v>
      </c>
      <c r="AX192" s="20">
        <v>0</v>
      </c>
    </row>
    <row r="193" spans="1:50" x14ac:dyDescent="0.3">
      <c r="A193" s="11">
        <v>32</v>
      </c>
      <c r="B193" s="11">
        <v>5</v>
      </c>
      <c r="C193" s="15">
        <v>0</v>
      </c>
      <c r="D193" s="15">
        <v>0</v>
      </c>
      <c r="E193" s="15">
        <v>0</v>
      </c>
      <c r="F193" s="15">
        <v>1</v>
      </c>
      <c r="G193" s="15">
        <v>0</v>
      </c>
      <c r="H193" s="15">
        <v>1</v>
      </c>
      <c r="I193" s="15">
        <v>0</v>
      </c>
      <c r="J193" s="15">
        <v>1</v>
      </c>
      <c r="K193" s="15">
        <v>0</v>
      </c>
      <c r="L193" s="15">
        <v>0</v>
      </c>
      <c r="M193" s="15">
        <v>1</v>
      </c>
      <c r="N193" s="15">
        <v>0</v>
      </c>
      <c r="O193" s="20">
        <v>0</v>
      </c>
      <c r="P193" s="20">
        <v>0</v>
      </c>
      <c r="Q193" s="20">
        <v>1</v>
      </c>
      <c r="R193" s="20">
        <v>0</v>
      </c>
      <c r="S193" s="20">
        <v>1</v>
      </c>
      <c r="T193" s="20">
        <v>0</v>
      </c>
      <c r="U193" s="20">
        <v>0</v>
      </c>
      <c r="V193" s="20">
        <v>0</v>
      </c>
      <c r="W193" s="20">
        <v>0</v>
      </c>
      <c r="X193" s="20">
        <v>0</v>
      </c>
      <c r="Y193" s="20">
        <v>1</v>
      </c>
      <c r="Z193" s="20">
        <v>0</v>
      </c>
      <c r="AA193" s="15">
        <v>0</v>
      </c>
      <c r="AB193" s="15">
        <v>0</v>
      </c>
      <c r="AC193" s="15">
        <v>0</v>
      </c>
      <c r="AD193" s="15">
        <v>0</v>
      </c>
      <c r="AE193" s="15">
        <v>0</v>
      </c>
      <c r="AF193" s="15">
        <v>0</v>
      </c>
      <c r="AG193" s="15">
        <v>0</v>
      </c>
      <c r="AH193" s="15">
        <v>0</v>
      </c>
      <c r="AI193" s="15">
        <v>1</v>
      </c>
      <c r="AJ193" s="15">
        <v>0</v>
      </c>
      <c r="AK193" s="15">
        <v>1</v>
      </c>
      <c r="AL193" s="15">
        <v>0</v>
      </c>
      <c r="AM193" s="20">
        <v>1</v>
      </c>
      <c r="AN193" s="20">
        <v>0</v>
      </c>
      <c r="AO193" s="20">
        <v>0</v>
      </c>
      <c r="AP193" s="20">
        <v>0</v>
      </c>
      <c r="AQ193" s="20">
        <v>0</v>
      </c>
      <c r="AR193" s="20">
        <v>0</v>
      </c>
      <c r="AS193" s="20">
        <v>0</v>
      </c>
      <c r="AT193" s="20">
        <v>0</v>
      </c>
      <c r="AU193" s="20">
        <v>0</v>
      </c>
      <c r="AV193" s="20">
        <v>0</v>
      </c>
      <c r="AW193" s="20">
        <v>0</v>
      </c>
      <c r="AX193" s="20">
        <v>0</v>
      </c>
    </row>
    <row r="194" spans="1:50" x14ac:dyDescent="0.3">
      <c r="A194" s="11">
        <v>32</v>
      </c>
      <c r="B194" s="11">
        <v>6</v>
      </c>
      <c r="C194" s="15">
        <v>0</v>
      </c>
      <c r="D194" s="15">
        <v>1</v>
      </c>
      <c r="E194" s="15">
        <v>0</v>
      </c>
      <c r="F194" s="15">
        <v>0</v>
      </c>
      <c r="G194" s="15">
        <v>0</v>
      </c>
      <c r="H194" s="15">
        <v>0</v>
      </c>
      <c r="I194" s="15">
        <v>0</v>
      </c>
      <c r="J194" s="15">
        <v>0</v>
      </c>
      <c r="K194" s="15">
        <v>0</v>
      </c>
      <c r="L194" s="15">
        <v>0</v>
      </c>
      <c r="M194" s="15">
        <v>0</v>
      </c>
      <c r="N194" s="15">
        <v>0</v>
      </c>
      <c r="O194" s="20">
        <v>0</v>
      </c>
      <c r="P194" s="20">
        <v>0</v>
      </c>
      <c r="Q194" s="20">
        <v>1</v>
      </c>
      <c r="R194" s="20">
        <v>0</v>
      </c>
      <c r="S194" s="20">
        <v>0</v>
      </c>
      <c r="T194" s="20">
        <v>0</v>
      </c>
      <c r="U194" s="20">
        <v>0</v>
      </c>
      <c r="V194" s="20">
        <v>1</v>
      </c>
      <c r="W194" s="20">
        <v>0</v>
      </c>
      <c r="X194" s="20">
        <v>1</v>
      </c>
      <c r="Y194" s="20">
        <v>0</v>
      </c>
      <c r="Z194" s="20">
        <v>0</v>
      </c>
      <c r="AA194" s="15">
        <v>0</v>
      </c>
      <c r="AB194" s="15">
        <v>0</v>
      </c>
      <c r="AC194" s="15">
        <v>0</v>
      </c>
      <c r="AD194" s="15">
        <v>1</v>
      </c>
      <c r="AE194" s="15">
        <v>0</v>
      </c>
      <c r="AF194" s="15">
        <v>0</v>
      </c>
      <c r="AG194" s="15">
        <v>1</v>
      </c>
      <c r="AH194" s="15">
        <v>0</v>
      </c>
      <c r="AI194" s="15">
        <v>0</v>
      </c>
      <c r="AJ194" s="15">
        <v>0</v>
      </c>
      <c r="AK194" s="15">
        <v>0</v>
      </c>
      <c r="AL194" s="15">
        <v>1</v>
      </c>
      <c r="AM194" s="20">
        <v>1</v>
      </c>
      <c r="AN194" s="20">
        <v>0</v>
      </c>
      <c r="AO194" s="20">
        <v>0</v>
      </c>
      <c r="AP194" s="20">
        <v>0</v>
      </c>
      <c r="AQ194" s="20">
        <v>0</v>
      </c>
      <c r="AR194" s="20">
        <v>0</v>
      </c>
      <c r="AS194" s="20">
        <v>0</v>
      </c>
      <c r="AT194" s="20">
        <v>0</v>
      </c>
      <c r="AU194" s="20">
        <v>0</v>
      </c>
      <c r="AV194" s="20">
        <v>0</v>
      </c>
      <c r="AW194" s="20">
        <v>0</v>
      </c>
      <c r="AX194" s="20">
        <v>0</v>
      </c>
    </row>
  </sheetData>
  <mergeCells count="4">
    <mergeCell ref="C1:N1"/>
    <mergeCell ref="O1:Z1"/>
    <mergeCell ref="AA1:AL1"/>
    <mergeCell ref="AM1:AX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C10B81-22B8-4C84-8EBC-059A96D1CAD3}">
  <sheetPr codeName="Sheet3"/>
  <dimension ref="A1:F193"/>
  <sheetViews>
    <sheetView workbookViewId="0">
      <selection activeCell="H17" sqref="H17"/>
    </sheetView>
  </sheetViews>
  <sheetFormatPr defaultRowHeight="14.4" x14ac:dyDescent="0.3"/>
  <cols>
    <col min="1" max="1" width="10.5546875" style="1" bestFit="1" customWidth="1"/>
    <col min="2" max="6" width="8.88671875" style="1"/>
  </cols>
  <sheetData>
    <row r="1" spans="1:6" x14ac:dyDescent="0.3">
      <c r="A1" s="12" t="s">
        <v>22</v>
      </c>
      <c r="B1" s="12" t="s">
        <v>21</v>
      </c>
      <c r="C1" s="12" t="s">
        <v>23</v>
      </c>
      <c r="D1" s="12" t="s">
        <v>24</v>
      </c>
      <c r="E1" s="12" t="s">
        <v>25</v>
      </c>
      <c r="F1" s="12" t="s">
        <v>26</v>
      </c>
    </row>
    <row r="2" spans="1:6" x14ac:dyDescent="0.3">
      <c r="A2" s="11">
        <v>1</v>
      </c>
      <c r="B2" s="11">
        <v>1</v>
      </c>
      <c r="C2" s="1">
        <v>0</v>
      </c>
      <c r="D2" s="1">
        <v>1</v>
      </c>
      <c r="E2" s="1">
        <v>0</v>
      </c>
      <c r="F2" s="1">
        <v>0</v>
      </c>
    </row>
    <row r="3" spans="1:6" x14ac:dyDescent="0.3">
      <c r="A3" s="11">
        <v>1</v>
      </c>
      <c r="B3" s="11">
        <v>2</v>
      </c>
      <c r="C3" s="1">
        <v>0</v>
      </c>
      <c r="D3" s="1">
        <v>0</v>
      </c>
      <c r="E3" s="1">
        <v>1</v>
      </c>
      <c r="F3" s="1">
        <v>0</v>
      </c>
    </row>
    <row r="4" spans="1:6" x14ac:dyDescent="0.3">
      <c r="A4" s="11">
        <v>1</v>
      </c>
      <c r="B4" s="11">
        <v>3</v>
      </c>
      <c r="C4" s="1">
        <v>0</v>
      </c>
      <c r="D4" s="1">
        <v>0</v>
      </c>
      <c r="E4" s="1">
        <v>1</v>
      </c>
      <c r="F4" s="1">
        <v>0</v>
      </c>
    </row>
    <row r="5" spans="1:6" x14ac:dyDescent="0.3">
      <c r="A5" s="11">
        <v>1</v>
      </c>
      <c r="B5" s="11">
        <v>4</v>
      </c>
      <c r="C5" s="1">
        <v>0</v>
      </c>
      <c r="D5" s="1">
        <v>0</v>
      </c>
      <c r="E5" s="1">
        <v>1</v>
      </c>
      <c r="F5" s="1">
        <v>0</v>
      </c>
    </row>
    <row r="6" spans="1:6" x14ac:dyDescent="0.3">
      <c r="A6" s="11">
        <v>1</v>
      </c>
      <c r="B6" s="11">
        <v>5</v>
      </c>
      <c r="C6" s="1">
        <v>0</v>
      </c>
      <c r="D6" s="1">
        <v>0</v>
      </c>
      <c r="E6" s="1">
        <v>1</v>
      </c>
      <c r="F6" s="1">
        <v>0</v>
      </c>
    </row>
    <row r="7" spans="1:6" x14ac:dyDescent="0.3">
      <c r="A7" s="11">
        <v>1</v>
      </c>
      <c r="B7" s="11">
        <v>6</v>
      </c>
      <c r="C7" s="1">
        <v>0</v>
      </c>
      <c r="D7" s="1">
        <v>0</v>
      </c>
      <c r="E7" s="1">
        <v>0</v>
      </c>
      <c r="F7" s="1">
        <v>1</v>
      </c>
    </row>
    <row r="8" spans="1:6" x14ac:dyDescent="0.3">
      <c r="A8" s="11">
        <v>2</v>
      </c>
      <c r="B8" s="11">
        <v>1</v>
      </c>
      <c r="C8" s="1">
        <v>0</v>
      </c>
      <c r="D8" s="1">
        <v>1</v>
      </c>
      <c r="E8" s="1">
        <v>0</v>
      </c>
      <c r="F8" s="1">
        <v>0</v>
      </c>
    </row>
    <row r="9" spans="1:6" x14ac:dyDescent="0.3">
      <c r="A9" s="11">
        <v>2</v>
      </c>
      <c r="B9" s="11">
        <v>2</v>
      </c>
      <c r="C9" s="1">
        <v>0</v>
      </c>
      <c r="D9" s="1">
        <v>0</v>
      </c>
      <c r="E9" s="1">
        <v>0</v>
      </c>
      <c r="F9" s="1">
        <v>1</v>
      </c>
    </row>
    <row r="10" spans="1:6" x14ac:dyDescent="0.3">
      <c r="A10" s="11">
        <v>2</v>
      </c>
      <c r="B10" s="11">
        <v>3</v>
      </c>
      <c r="C10" s="1">
        <v>0</v>
      </c>
      <c r="D10" s="1">
        <v>0</v>
      </c>
      <c r="E10" s="1">
        <v>1</v>
      </c>
      <c r="F10" s="1">
        <v>0</v>
      </c>
    </row>
    <row r="11" spans="1:6" x14ac:dyDescent="0.3">
      <c r="A11" s="11">
        <v>2</v>
      </c>
      <c r="B11" s="11">
        <v>4</v>
      </c>
      <c r="C11" s="1">
        <v>0</v>
      </c>
      <c r="D11" s="1">
        <v>0</v>
      </c>
      <c r="E11" s="1">
        <v>0</v>
      </c>
      <c r="F11" s="1">
        <v>1</v>
      </c>
    </row>
    <row r="12" spans="1:6" x14ac:dyDescent="0.3">
      <c r="A12" s="11">
        <v>2</v>
      </c>
      <c r="B12" s="11">
        <v>5</v>
      </c>
      <c r="C12" s="1">
        <v>1</v>
      </c>
      <c r="D12" s="1">
        <v>0</v>
      </c>
      <c r="E12" s="1">
        <v>0</v>
      </c>
      <c r="F12" s="1">
        <v>0</v>
      </c>
    </row>
    <row r="13" spans="1:6" x14ac:dyDescent="0.3">
      <c r="A13" s="11">
        <v>2</v>
      </c>
      <c r="B13" s="11">
        <v>6</v>
      </c>
      <c r="C13" s="1">
        <v>0</v>
      </c>
      <c r="D13" s="1">
        <v>0</v>
      </c>
      <c r="E13" s="1">
        <v>1</v>
      </c>
      <c r="F13" s="1">
        <v>0</v>
      </c>
    </row>
    <row r="14" spans="1:6" x14ac:dyDescent="0.3">
      <c r="A14" s="11">
        <v>3</v>
      </c>
      <c r="B14" s="11">
        <v>1</v>
      </c>
      <c r="C14" s="1">
        <v>0</v>
      </c>
      <c r="D14" s="1">
        <v>0</v>
      </c>
      <c r="E14" s="1">
        <v>1</v>
      </c>
      <c r="F14" s="1">
        <v>0</v>
      </c>
    </row>
    <row r="15" spans="1:6" x14ac:dyDescent="0.3">
      <c r="A15" s="11">
        <v>3</v>
      </c>
      <c r="B15" s="11">
        <v>2</v>
      </c>
      <c r="C15" s="1">
        <v>1</v>
      </c>
      <c r="D15" s="1">
        <v>0</v>
      </c>
      <c r="E15" s="1">
        <v>0</v>
      </c>
      <c r="F15" s="1">
        <v>0</v>
      </c>
    </row>
    <row r="16" spans="1:6" x14ac:dyDescent="0.3">
      <c r="A16" s="11">
        <v>3</v>
      </c>
      <c r="B16" s="11">
        <v>3</v>
      </c>
      <c r="C16" s="1">
        <v>0</v>
      </c>
      <c r="D16" s="1">
        <v>0</v>
      </c>
      <c r="E16" s="1">
        <v>1</v>
      </c>
      <c r="F16" s="1">
        <v>0</v>
      </c>
    </row>
    <row r="17" spans="1:6" x14ac:dyDescent="0.3">
      <c r="A17" s="11">
        <v>3</v>
      </c>
      <c r="B17" s="11">
        <v>4</v>
      </c>
      <c r="C17" s="1">
        <v>0</v>
      </c>
      <c r="D17" s="1">
        <v>1</v>
      </c>
      <c r="E17" s="1">
        <v>0</v>
      </c>
      <c r="F17" s="1">
        <v>0</v>
      </c>
    </row>
    <row r="18" spans="1:6" x14ac:dyDescent="0.3">
      <c r="A18" s="11">
        <v>3</v>
      </c>
      <c r="B18" s="11">
        <v>5</v>
      </c>
      <c r="C18" s="1">
        <v>0</v>
      </c>
      <c r="D18" s="1">
        <v>1</v>
      </c>
      <c r="E18" s="1">
        <v>0</v>
      </c>
      <c r="F18" s="1">
        <v>0</v>
      </c>
    </row>
    <row r="19" spans="1:6" x14ac:dyDescent="0.3">
      <c r="A19" s="11">
        <v>3</v>
      </c>
      <c r="B19" s="11">
        <v>6</v>
      </c>
      <c r="C19" s="1">
        <v>0</v>
      </c>
      <c r="D19" s="1">
        <v>1</v>
      </c>
      <c r="E19" s="1">
        <v>0</v>
      </c>
      <c r="F19" s="1">
        <v>0</v>
      </c>
    </row>
    <row r="20" spans="1:6" x14ac:dyDescent="0.3">
      <c r="A20" s="11">
        <v>4</v>
      </c>
      <c r="B20" s="11">
        <v>1</v>
      </c>
      <c r="C20" s="1">
        <v>0</v>
      </c>
      <c r="D20" s="1">
        <v>1</v>
      </c>
      <c r="E20" s="1">
        <v>0</v>
      </c>
      <c r="F20" s="1">
        <v>0</v>
      </c>
    </row>
    <row r="21" spans="1:6" x14ac:dyDescent="0.3">
      <c r="A21" s="11">
        <v>4</v>
      </c>
      <c r="B21" s="11">
        <v>2</v>
      </c>
      <c r="C21" s="1">
        <v>0</v>
      </c>
      <c r="D21" s="1">
        <v>0</v>
      </c>
      <c r="E21" s="1">
        <v>1</v>
      </c>
      <c r="F21" s="1">
        <v>0</v>
      </c>
    </row>
    <row r="22" spans="1:6" x14ac:dyDescent="0.3">
      <c r="A22" s="11">
        <v>4</v>
      </c>
      <c r="B22" s="11">
        <v>3</v>
      </c>
      <c r="C22" s="1">
        <v>0</v>
      </c>
      <c r="D22" s="1">
        <v>1</v>
      </c>
      <c r="E22" s="1">
        <v>0</v>
      </c>
      <c r="F22" s="1">
        <v>0</v>
      </c>
    </row>
    <row r="23" spans="1:6" x14ac:dyDescent="0.3">
      <c r="A23" s="11">
        <v>4</v>
      </c>
      <c r="B23" s="11">
        <v>4</v>
      </c>
      <c r="C23" s="1">
        <v>0</v>
      </c>
      <c r="D23" s="1">
        <v>0</v>
      </c>
      <c r="E23" s="1">
        <v>1</v>
      </c>
      <c r="F23" s="1">
        <v>0</v>
      </c>
    </row>
    <row r="24" spans="1:6" x14ac:dyDescent="0.3">
      <c r="A24" s="11">
        <v>4</v>
      </c>
      <c r="B24" s="11">
        <v>5</v>
      </c>
      <c r="C24" s="1">
        <v>0</v>
      </c>
      <c r="D24" s="1">
        <v>0</v>
      </c>
      <c r="E24" s="1">
        <v>1</v>
      </c>
      <c r="F24" s="1">
        <v>0</v>
      </c>
    </row>
    <row r="25" spans="1:6" x14ac:dyDescent="0.3">
      <c r="A25" s="11">
        <v>4</v>
      </c>
      <c r="B25" s="11">
        <v>6</v>
      </c>
      <c r="C25" s="1">
        <v>1</v>
      </c>
      <c r="D25" s="1">
        <v>0</v>
      </c>
      <c r="E25" s="1">
        <v>0</v>
      </c>
      <c r="F25" s="1">
        <v>0</v>
      </c>
    </row>
    <row r="26" spans="1:6" x14ac:dyDescent="0.3">
      <c r="A26" s="11">
        <v>5</v>
      </c>
      <c r="B26" s="11">
        <v>1</v>
      </c>
      <c r="C26" s="1">
        <v>0</v>
      </c>
      <c r="D26" s="1">
        <v>0</v>
      </c>
      <c r="E26" s="1">
        <v>1</v>
      </c>
      <c r="F26" s="1">
        <v>0</v>
      </c>
    </row>
    <row r="27" spans="1:6" x14ac:dyDescent="0.3">
      <c r="A27" s="11">
        <v>5</v>
      </c>
      <c r="B27" s="11">
        <v>2</v>
      </c>
      <c r="C27" s="1">
        <v>0</v>
      </c>
      <c r="D27" s="1">
        <v>1</v>
      </c>
      <c r="E27" s="1">
        <v>0</v>
      </c>
      <c r="F27" s="1">
        <v>0</v>
      </c>
    </row>
    <row r="28" spans="1:6" x14ac:dyDescent="0.3">
      <c r="A28" s="11">
        <v>5</v>
      </c>
      <c r="B28" s="11">
        <v>3</v>
      </c>
      <c r="C28" s="1">
        <v>0</v>
      </c>
      <c r="D28" s="1">
        <v>0</v>
      </c>
      <c r="E28" s="1">
        <v>1</v>
      </c>
      <c r="F28" s="1">
        <v>0</v>
      </c>
    </row>
    <row r="29" spans="1:6" x14ac:dyDescent="0.3">
      <c r="A29" s="11">
        <v>5</v>
      </c>
      <c r="B29" s="11">
        <v>4</v>
      </c>
      <c r="C29" s="1">
        <v>0</v>
      </c>
      <c r="D29" s="1">
        <v>0</v>
      </c>
      <c r="E29" s="1">
        <v>1</v>
      </c>
      <c r="F29" s="1">
        <v>0</v>
      </c>
    </row>
    <row r="30" spans="1:6" x14ac:dyDescent="0.3">
      <c r="A30" s="11">
        <v>5</v>
      </c>
      <c r="B30" s="11">
        <v>5</v>
      </c>
      <c r="C30" s="1">
        <v>0</v>
      </c>
      <c r="D30" s="1">
        <v>0</v>
      </c>
      <c r="E30" s="1">
        <v>0</v>
      </c>
      <c r="F30" s="1">
        <v>1</v>
      </c>
    </row>
    <row r="31" spans="1:6" x14ac:dyDescent="0.3">
      <c r="A31" s="11">
        <v>5</v>
      </c>
      <c r="B31" s="11">
        <v>6</v>
      </c>
      <c r="C31" s="1">
        <v>0</v>
      </c>
      <c r="D31" s="1">
        <v>0</v>
      </c>
      <c r="E31" s="1">
        <v>1</v>
      </c>
      <c r="F31" s="1">
        <v>0</v>
      </c>
    </row>
    <row r="32" spans="1:6" x14ac:dyDescent="0.3">
      <c r="A32" s="11">
        <v>6</v>
      </c>
      <c r="B32" s="11">
        <v>1</v>
      </c>
      <c r="C32" s="1">
        <v>0</v>
      </c>
      <c r="D32" s="1">
        <v>1</v>
      </c>
      <c r="E32" s="1">
        <v>0</v>
      </c>
      <c r="F32" s="1">
        <v>0</v>
      </c>
    </row>
    <row r="33" spans="1:6" x14ac:dyDescent="0.3">
      <c r="A33" s="11">
        <v>6</v>
      </c>
      <c r="B33" s="11">
        <v>2</v>
      </c>
      <c r="C33" s="1">
        <v>0</v>
      </c>
      <c r="D33" s="1">
        <v>0</v>
      </c>
      <c r="E33" s="1">
        <v>1</v>
      </c>
      <c r="F33" s="1">
        <v>0</v>
      </c>
    </row>
    <row r="34" spans="1:6" x14ac:dyDescent="0.3">
      <c r="A34" s="11">
        <v>6</v>
      </c>
      <c r="B34" s="11">
        <v>3</v>
      </c>
      <c r="C34" s="1">
        <v>0</v>
      </c>
      <c r="D34" s="1">
        <v>0</v>
      </c>
      <c r="E34" s="1">
        <v>1</v>
      </c>
      <c r="F34" s="1">
        <v>0</v>
      </c>
    </row>
    <row r="35" spans="1:6" x14ac:dyDescent="0.3">
      <c r="A35" s="11">
        <v>6</v>
      </c>
      <c r="B35" s="11">
        <v>4</v>
      </c>
      <c r="C35" s="1">
        <v>0</v>
      </c>
      <c r="D35" s="1">
        <v>0</v>
      </c>
      <c r="E35" s="1">
        <v>0</v>
      </c>
      <c r="F35" s="1">
        <v>1</v>
      </c>
    </row>
    <row r="36" spans="1:6" x14ac:dyDescent="0.3">
      <c r="A36" s="11">
        <v>6</v>
      </c>
      <c r="B36" s="11">
        <v>5</v>
      </c>
      <c r="C36" s="1">
        <v>1</v>
      </c>
      <c r="D36" s="1">
        <v>0</v>
      </c>
      <c r="E36" s="1">
        <v>0</v>
      </c>
      <c r="F36" s="1">
        <v>0</v>
      </c>
    </row>
    <row r="37" spans="1:6" x14ac:dyDescent="0.3">
      <c r="A37" s="11">
        <v>6</v>
      </c>
      <c r="B37" s="11">
        <v>6</v>
      </c>
      <c r="C37" s="1">
        <v>0</v>
      </c>
      <c r="D37" s="1">
        <v>0</v>
      </c>
      <c r="E37" s="1">
        <v>1</v>
      </c>
      <c r="F37" s="1">
        <v>0</v>
      </c>
    </row>
    <row r="38" spans="1:6" x14ac:dyDescent="0.3">
      <c r="A38" s="11">
        <v>7</v>
      </c>
      <c r="B38" s="11">
        <v>1</v>
      </c>
      <c r="C38" s="1">
        <v>1</v>
      </c>
      <c r="D38" s="1">
        <v>0</v>
      </c>
      <c r="E38" s="1">
        <v>0</v>
      </c>
      <c r="F38" s="1">
        <v>0</v>
      </c>
    </row>
    <row r="39" spans="1:6" x14ac:dyDescent="0.3">
      <c r="A39" s="11">
        <v>7</v>
      </c>
      <c r="B39" s="11">
        <v>2</v>
      </c>
      <c r="C39" s="1">
        <v>0</v>
      </c>
      <c r="D39" s="1">
        <v>1</v>
      </c>
      <c r="E39" s="1">
        <v>0</v>
      </c>
      <c r="F39" s="1">
        <v>0</v>
      </c>
    </row>
    <row r="40" spans="1:6" x14ac:dyDescent="0.3">
      <c r="A40" s="11">
        <v>7</v>
      </c>
      <c r="B40" s="11">
        <v>3</v>
      </c>
      <c r="C40" s="1">
        <v>0</v>
      </c>
      <c r="D40" s="1">
        <v>1</v>
      </c>
      <c r="E40" s="1">
        <v>0</v>
      </c>
      <c r="F40" s="1">
        <v>0</v>
      </c>
    </row>
    <row r="41" spans="1:6" x14ac:dyDescent="0.3">
      <c r="A41" s="11">
        <v>7</v>
      </c>
      <c r="B41" s="11">
        <v>4</v>
      </c>
      <c r="C41" s="1">
        <v>1</v>
      </c>
      <c r="D41" s="1">
        <v>0</v>
      </c>
      <c r="E41" s="1">
        <v>0</v>
      </c>
      <c r="F41" s="1">
        <v>0</v>
      </c>
    </row>
    <row r="42" spans="1:6" x14ac:dyDescent="0.3">
      <c r="A42" s="11">
        <v>7</v>
      </c>
      <c r="B42" s="11">
        <v>5</v>
      </c>
      <c r="C42" s="1">
        <v>0</v>
      </c>
      <c r="D42" s="1">
        <v>1</v>
      </c>
      <c r="E42" s="1">
        <v>0</v>
      </c>
      <c r="F42" s="1">
        <v>0</v>
      </c>
    </row>
    <row r="43" spans="1:6" x14ac:dyDescent="0.3">
      <c r="A43" s="11">
        <v>7</v>
      </c>
      <c r="B43" s="11">
        <v>6</v>
      </c>
      <c r="C43" s="1">
        <v>0</v>
      </c>
      <c r="D43" s="1">
        <v>0</v>
      </c>
      <c r="E43" s="1">
        <v>1</v>
      </c>
      <c r="F43" s="1">
        <v>0</v>
      </c>
    </row>
    <row r="44" spans="1:6" x14ac:dyDescent="0.3">
      <c r="A44" s="11">
        <v>8</v>
      </c>
      <c r="B44" s="11">
        <v>1</v>
      </c>
      <c r="C44" s="1">
        <v>0</v>
      </c>
      <c r="D44" s="1">
        <v>1</v>
      </c>
      <c r="E44" s="1">
        <v>0</v>
      </c>
      <c r="F44" s="1">
        <v>0</v>
      </c>
    </row>
    <row r="45" spans="1:6" x14ac:dyDescent="0.3">
      <c r="A45" s="11">
        <v>8</v>
      </c>
      <c r="B45" s="11">
        <v>2</v>
      </c>
      <c r="C45" s="1">
        <v>1</v>
      </c>
      <c r="D45" s="1">
        <v>0</v>
      </c>
      <c r="E45" s="1">
        <v>0</v>
      </c>
      <c r="F45" s="1">
        <v>0</v>
      </c>
    </row>
    <row r="46" spans="1:6" x14ac:dyDescent="0.3">
      <c r="A46" s="11">
        <v>8</v>
      </c>
      <c r="B46" s="11">
        <v>3</v>
      </c>
      <c r="C46" s="1">
        <v>1</v>
      </c>
      <c r="D46" s="1">
        <v>0</v>
      </c>
      <c r="E46" s="1">
        <v>0</v>
      </c>
      <c r="F46" s="1">
        <v>0</v>
      </c>
    </row>
    <row r="47" spans="1:6" x14ac:dyDescent="0.3">
      <c r="A47" s="11">
        <v>8</v>
      </c>
      <c r="B47" s="11">
        <v>4</v>
      </c>
      <c r="C47" s="1">
        <v>0</v>
      </c>
      <c r="D47" s="1">
        <v>0</v>
      </c>
      <c r="E47" s="1">
        <v>1</v>
      </c>
      <c r="F47" s="1">
        <v>0</v>
      </c>
    </row>
    <row r="48" spans="1:6" x14ac:dyDescent="0.3">
      <c r="A48" s="11">
        <v>8</v>
      </c>
      <c r="B48" s="11">
        <v>5</v>
      </c>
      <c r="C48" s="1">
        <v>0</v>
      </c>
      <c r="D48" s="1">
        <v>1</v>
      </c>
      <c r="E48" s="1">
        <v>0</v>
      </c>
      <c r="F48" s="1">
        <v>0</v>
      </c>
    </row>
    <row r="49" spans="1:6" x14ac:dyDescent="0.3">
      <c r="A49" s="11">
        <v>8</v>
      </c>
      <c r="B49" s="11">
        <v>6</v>
      </c>
      <c r="C49" s="1">
        <v>0</v>
      </c>
      <c r="D49" s="1">
        <v>0</v>
      </c>
      <c r="E49" s="1">
        <v>1</v>
      </c>
      <c r="F49" s="1">
        <v>0</v>
      </c>
    </row>
    <row r="50" spans="1:6" x14ac:dyDescent="0.3">
      <c r="A50" s="11">
        <v>9</v>
      </c>
      <c r="B50" s="11">
        <v>1</v>
      </c>
      <c r="C50" s="1">
        <v>0</v>
      </c>
      <c r="D50" s="1">
        <v>0</v>
      </c>
      <c r="E50" s="1">
        <v>0</v>
      </c>
      <c r="F50" s="1">
        <v>1</v>
      </c>
    </row>
    <row r="51" spans="1:6" x14ac:dyDescent="0.3">
      <c r="A51" s="11">
        <v>9</v>
      </c>
      <c r="B51" s="11">
        <v>2</v>
      </c>
      <c r="C51" s="1">
        <v>0</v>
      </c>
      <c r="D51" s="1">
        <v>0</v>
      </c>
      <c r="E51" s="1">
        <v>1</v>
      </c>
      <c r="F51" s="1">
        <v>0</v>
      </c>
    </row>
    <row r="52" spans="1:6" x14ac:dyDescent="0.3">
      <c r="A52" s="11">
        <v>9</v>
      </c>
      <c r="B52" s="11">
        <v>3</v>
      </c>
      <c r="C52" s="1">
        <v>0</v>
      </c>
      <c r="D52" s="1">
        <v>0</v>
      </c>
      <c r="E52" s="1">
        <v>1</v>
      </c>
      <c r="F52" s="1">
        <v>0</v>
      </c>
    </row>
    <row r="53" spans="1:6" x14ac:dyDescent="0.3">
      <c r="A53" s="11">
        <v>9</v>
      </c>
      <c r="B53" s="11">
        <v>4</v>
      </c>
      <c r="C53" s="1">
        <v>0</v>
      </c>
      <c r="D53" s="1">
        <v>0</v>
      </c>
      <c r="E53" s="1">
        <v>1</v>
      </c>
      <c r="F53" s="1">
        <v>0</v>
      </c>
    </row>
    <row r="54" spans="1:6" x14ac:dyDescent="0.3">
      <c r="A54" s="11">
        <v>9</v>
      </c>
      <c r="B54" s="11">
        <v>5</v>
      </c>
      <c r="C54" s="1">
        <v>0</v>
      </c>
      <c r="D54" s="1">
        <v>0</v>
      </c>
      <c r="E54" s="1">
        <v>1</v>
      </c>
      <c r="F54" s="1">
        <v>0</v>
      </c>
    </row>
    <row r="55" spans="1:6" x14ac:dyDescent="0.3">
      <c r="A55" s="11">
        <v>9</v>
      </c>
      <c r="B55" s="11">
        <v>6</v>
      </c>
      <c r="C55" s="1">
        <v>0</v>
      </c>
      <c r="D55" s="1">
        <v>1</v>
      </c>
      <c r="E55" s="1">
        <v>0</v>
      </c>
      <c r="F55" s="1">
        <v>0</v>
      </c>
    </row>
    <row r="56" spans="1:6" x14ac:dyDescent="0.3">
      <c r="A56" s="11">
        <v>10</v>
      </c>
      <c r="B56" s="11">
        <v>1</v>
      </c>
      <c r="C56" s="1">
        <v>1</v>
      </c>
      <c r="D56" s="1">
        <v>0</v>
      </c>
      <c r="E56" s="1">
        <v>0</v>
      </c>
      <c r="F56" s="1">
        <v>0</v>
      </c>
    </row>
    <row r="57" spans="1:6" x14ac:dyDescent="0.3">
      <c r="A57" s="11">
        <v>10</v>
      </c>
      <c r="B57" s="11">
        <v>2</v>
      </c>
      <c r="C57" s="1">
        <v>1</v>
      </c>
      <c r="D57" s="1">
        <v>0</v>
      </c>
      <c r="E57" s="1">
        <v>0</v>
      </c>
      <c r="F57" s="1">
        <v>0</v>
      </c>
    </row>
    <row r="58" spans="1:6" x14ac:dyDescent="0.3">
      <c r="A58" s="11">
        <v>10</v>
      </c>
      <c r="B58" s="11">
        <v>3</v>
      </c>
      <c r="C58" s="1">
        <v>0</v>
      </c>
      <c r="D58" s="1">
        <v>0</v>
      </c>
      <c r="E58" s="1">
        <v>1</v>
      </c>
      <c r="F58" s="1">
        <v>0</v>
      </c>
    </row>
    <row r="59" spans="1:6" x14ac:dyDescent="0.3">
      <c r="A59" s="11">
        <v>10</v>
      </c>
      <c r="B59" s="11">
        <v>4</v>
      </c>
      <c r="C59" s="1">
        <v>0</v>
      </c>
      <c r="D59" s="1">
        <v>1</v>
      </c>
      <c r="E59" s="1">
        <v>0</v>
      </c>
      <c r="F59" s="1">
        <v>0</v>
      </c>
    </row>
    <row r="60" spans="1:6" x14ac:dyDescent="0.3">
      <c r="A60" s="11">
        <v>10</v>
      </c>
      <c r="B60" s="11">
        <v>5</v>
      </c>
      <c r="C60" s="1">
        <v>0</v>
      </c>
      <c r="D60" s="1">
        <v>0</v>
      </c>
      <c r="E60" s="1">
        <v>1</v>
      </c>
      <c r="F60" s="1">
        <v>0</v>
      </c>
    </row>
    <row r="61" spans="1:6" x14ac:dyDescent="0.3">
      <c r="A61" s="11">
        <v>10</v>
      </c>
      <c r="B61" s="11">
        <v>6</v>
      </c>
      <c r="C61" s="1">
        <v>0</v>
      </c>
      <c r="D61" s="1">
        <v>0</v>
      </c>
      <c r="E61" s="1">
        <v>0</v>
      </c>
      <c r="F61" s="1">
        <v>1</v>
      </c>
    </row>
    <row r="62" spans="1:6" x14ac:dyDescent="0.3">
      <c r="A62" s="11">
        <v>11</v>
      </c>
      <c r="B62" s="11">
        <v>1</v>
      </c>
      <c r="C62" s="1">
        <v>0</v>
      </c>
      <c r="D62" s="1">
        <v>0</v>
      </c>
      <c r="E62" s="1">
        <v>0</v>
      </c>
      <c r="F62" s="1">
        <v>1</v>
      </c>
    </row>
    <row r="63" spans="1:6" x14ac:dyDescent="0.3">
      <c r="A63" s="11">
        <v>11</v>
      </c>
      <c r="B63" s="11">
        <v>2</v>
      </c>
      <c r="C63" s="1">
        <v>0</v>
      </c>
      <c r="D63" s="1">
        <v>1</v>
      </c>
      <c r="E63" s="1">
        <v>0</v>
      </c>
      <c r="F63" s="1">
        <v>0</v>
      </c>
    </row>
    <row r="64" spans="1:6" x14ac:dyDescent="0.3">
      <c r="A64" s="11">
        <v>11</v>
      </c>
      <c r="B64" s="11">
        <v>3</v>
      </c>
      <c r="C64" s="1">
        <v>1</v>
      </c>
      <c r="D64" s="1">
        <v>0</v>
      </c>
      <c r="E64" s="1">
        <v>0</v>
      </c>
      <c r="F64" s="1">
        <v>0</v>
      </c>
    </row>
    <row r="65" spans="1:6" x14ac:dyDescent="0.3">
      <c r="A65" s="11">
        <v>11</v>
      </c>
      <c r="B65" s="11">
        <v>4</v>
      </c>
      <c r="C65" s="1">
        <v>0</v>
      </c>
      <c r="D65" s="1">
        <v>1</v>
      </c>
      <c r="E65" s="1">
        <v>0</v>
      </c>
      <c r="F65" s="1">
        <v>0</v>
      </c>
    </row>
    <row r="66" spans="1:6" x14ac:dyDescent="0.3">
      <c r="A66" s="11">
        <v>11</v>
      </c>
      <c r="B66" s="11">
        <v>5</v>
      </c>
      <c r="C66" s="1">
        <v>1</v>
      </c>
      <c r="D66" s="1">
        <v>0</v>
      </c>
      <c r="E66" s="1">
        <v>0</v>
      </c>
      <c r="F66" s="1">
        <v>0</v>
      </c>
    </row>
    <row r="67" spans="1:6" x14ac:dyDescent="0.3">
      <c r="A67" s="11">
        <v>11</v>
      </c>
      <c r="B67" s="11">
        <v>6</v>
      </c>
      <c r="C67" s="1">
        <v>0</v>
      </c>
      <c r="D67" s="1">
        <v>1</v>
      </c>
      <c r="E67" s="1">
        <v>0</v>
      </c>
      <c r="F67" s="1">
        <v>0</v>
      </c>
    </row>
    <row r="68" spans="1:6" x14ac:dyDescent="0.3">
      <c r="A68" s="11">
        <v>12</v>
      </c>
      <c r="B68" s="11">
        <v>1</v>
      </c>
      <c r="C68" s="1">
        <v>0</v>
      </c>
      <c r="D68" s="1">
        <v>1</v>
      </c>
      <c r="E68" s="1">
        <v>0</v>
      </c>
      <c r="F68" s="1">
        <v>0</v>
      </c>
    </row>
    <row r="69" spans="1:6" x14ac:dyDescent="0.3">
      <c r="A69" s="11">
        <v>12</v>
      </c>
      <c r="B69" s="11">
        <v>2</v>
      </c>
      <c r="C69" s="1">
        <v>0</v>
      </c>
      <c r="D69" s="1">
        <v>1</v>
      </c>
      <c r="E69" s="1">
        <v>0</v>
      </c>
      <c r="F69" s="1">
        <v>0</v>
      </c>
    </row>
    <row r="70" spans="1:6" x14ac:dyDescent="0.3">
      <c r="A70" s="11">
        <v>12</v>
      </c>
      <c r="B70" s="11">
        <v>3</v>
      </c>
      <c r="C70" s="1">
        <v>0</v>
      </c>
      <c r="D70" s="1">
        <v>0</v>
      </c>
      <c r="E70" s="1">
        <v>1</v>
      </c>
      <c r="F70" s="1">
        <v>0</v>
      </c>
    </row>
    <row r="71" spans="1:6" x14ac:dyDescent="0.3">
      <c r="A71" s="11">
        <v>12</v>
      </c>
      <c r="B71" s="11">
        <v>4</v>
      </c>
      <c r="C71" s="1">
        <v>1</v>
      </c>
      <c r="D71" s="1">
        <v>0</v>
      </c>
      <c r="E71" s="1">
        <v>0</v>
      </c>
      <c r="F71" s="1">
        <v>0</v>
      </c>
    </row>
    <row r="72" spans="1:6" x14ac:dyDescent="0.3">
      <c r="A72" s="11">
        <v>12</v>
      </c>
      <c r="B72" s="11">
        <v>5</v>
      </c>
      <c r="C72" s="1">
        <v>0</v>
      </c>
      <c r="D72" s="1">
        <v>0</v>
      </c>
      <c r="E72" s="1">
        <v>1</v>
      </c>
      <c r="F72" s="1">
        <v>0</v>
      </c>
    </row>
    <row r="73" spans="1:6" x14ac:dyDescent="0.3">
      <c r="A73" s="11">
        <v>12</v>
      </c>
      <c r="B73" s="11">
        <v>6</v>
      </c>
      <c r="C73" s="1">
        <v>0</v>
      </c>
      <c r="D73" s="1">
        <v>1</v>
      </c>
      <c r="E73" s="1">
        <v>0</v>
      </c>
      <c r="F73" s="1">
        <v>0</v>
      </c>
    </row>
    <row r="74" spans="1:6" x14ac:dyDescent="0.3">
      <c r="A74" s="11">
        <v>13</v>
      </c>
      <c r="B74" s="11">
        <v>1</v>
      </c>
      <c r="C74" s="1">
        <v>0</v>
      </c>
      <c r="D74" s="1">
        <v>0</v>
      </c>
      <c r="E74" s="1">
        <v>0</v>
      </c>
      <c r="F74" s="1">
        <v>1</v>
      </c>
    </row>
    <row r="75" spans="1:6" x14ac:dyDescent="0.3">
      <c r="A75" s="11">
        <v>13</v>
      </c>
      <c r="B75" s="11">
        <v>2</v>
      </c>
      <c r="C75" s="1">
        <v>1</v>
      </c>
      <c r="D75" s="1">
        <v>0</v>
      </c>
      <c r="E75" s="1">
        <v>0</v>
      </c>
      <c r="F75" s="1">
        <v>0</v>
      </c>
    </row>
    <row r="76" spans="1:6" x14ac:dyDescent="0.3">
      <c r="A76" s="11">
        <v>13</v>
      </c>
      <c r="B76" s="11">
        <v>3</v>
      </c>
      <c r="C76" s="1">
        <v>0</v>
      </c>
      <c r="D76" s="1">
        <v>1</v>
      </c>
      <c r="E76" s="1">
        <v>0</v>
      </c>
      <c r="F76" s="1">
        <v>0</v>
      </c>
    </row>
    <row r="77" spans="1:6" x14ac:dyDescent="0.3">
      <c r="A77" s="11">
        <v>13</v>
      </c>
      <c r="B77" s="11">
        <v>4</v>
      </c>
      <c r="C77" s="1">
        <v>0</v>
      </c>
      <c r="D77" s="1">
        <v>0</v>
      </c>
      <c r="E77" s="1">
        <v>1</v>
      </c>
      <c r="F77" s="1">
        <v>0</v>
      </c>
    </row>
    <row r="78" spans="1:6" x14ac:dyDescent="0.3">
      <c r="A78" s="11">
        <v>13</v>
      </c>
      <c r="B78" s="11">
        <v>5</v>
      </c>
      <c r="C78" s="1">
        <v>0</v>
      </c>
      <c r="D78" s="1">
        <v>1</v>
      </c>
      <c r="E78" s="1">
        <v>0</v>
      </c>
      <c r="F78" s="1">
        <v>0</v>
      </c>
    </row>
    <row r="79" spans="1:6" x14ac:dyDescent="0.3">
      <c r="A79" s="11">
        <v>13</v>
      </c>
      <c r="B79" s="11">
        <v>6</v>
      </c>
      <c r="C79" s="1">
        <v>1</v>
      </c>
      <c r="D79" s="1">
        <v>0</v>
      </c>
      <c r="E79" s="1">
        <v>0</v>
      </c>
      <c r="F79" s="1">
        <v>0</v>
      </c>
    </row>
    <row r="80" spans="1:6" x14ac:dyDescent="0.3">
      <c r="A80" s="11">
        <v>14</v>
      </c>
      <c r="B80" s="11">
        <v>1</v>
      </c>
      <c r="C80" s="1">
        <v>0</v>
      </c>
      <c r="D80" s="1">
        <v>1</v>
      </c>
      <c r="E80" s="1">
        <v>0</v>
      </c>
      <c r="F80" s="1">
        <v>0</v>
      </c>
    </row>
    <row r="81" spans="1:6" x14ac:dyDescent="0.3">
      <c r="A81" s="11">
        <v>14</v>
      </c>
      <c r="B81" s="11">
        <v>2</v>
      </c>
      <c r="C81" s="1">
        <v>1</v>
      </c>
      <c r="D81" s="1">
        <v>0</v>
      </c>
      <c r="E81" s="1">
        <v>0</v>
      </c>
      <c r="F81" s="1">
        <v>0</v>
      </c>
    </row>
    <row r="82" spans="1:6" x14ac:dyDescent="0.3">
      <c r="A82" s="11">
        <v>14</v>
      </c>
      <c r="B82" s="11">
        <v>3</v>
      </c>
      <c r="C82" s="1">
        <v>1</v>
      </c>
      <c r="D82" s="1">
        <v>0</v>
      </c>
      <c r="E82" s="1">
        <v>0</v>
      </c>
      <c r="F82" s="1">
        <v>0</v>
      </c>
    </row>
    <row r="83" spans="1:6" x14ac:dyDescent="0.3">
      <c r="A83" s="11">
        <v>14</v>
      </c>
      <c r="B83" s="11">
        <v>4</v>
      </c>
      <c r="C83" s="1">
        <v>0</v>
      </c>
      <c r="D83" s="1">
        <v>1</v>
      </c>
      <c r="E83" s="1">
        <v>0</v>
      </c>
      <c r="F83" s="1">
        <v>0</v>
      </c>
    </row>
    <row r="84" spans="1:6" x14ac:dyDescent="0.3">
      <c r="A84" s="11">
        <v>14</v>
      </c>
      <c r="B84" s="11">
        <v>5</v>
      </c>
      <c r="C84" s="1">
        <v>1</v>
      </c>
      <c r="D84" s="1">
        <v>0</v>
      </c>
      <c r="E84" s="1">
        <v>0</v>
      </c>
      <c r="F84" s="1">
        <v>0</v>
      </c>
    </row>
    <row r="85" spans="1:6" x14ac:dyDescent="0.3">
      <c r="A85" s="11">
        <v>14</v>
      </c>
      <c r="B85" s="11">
        <v>6</v>
      </c>
      <c r="C85" s="1">
        <v>0</v>
      </c>
      <c r="D85" s="1">
        <v>1</v>
      </c>
      <c r="E85" s="1">
        <v>0</v>
      </c>
      <c r="F85" s="1">
        <v>0</v>
      </c>
    </row>
    <row r="86" spans="1:6" x14ac:dyDescent="0.3">
      <c r="A86" s="11">
        <v>15</v>
      </c>
      <c r="B86" s="11">
        <v>1</v>
      </c>
      <c r="C86" s="1">
        <v>0</v>
      </c>
      <c r="D86" s="1">
        <v>1</v>
      </c>
      <c r="E86" s="1">
        <v>0</v>
      </c>
      <c r="F86" s="1">
        <v>0</v>
      </c>
    </row>
    <row r="87" spans="1:6" x14ac:dyDescent="0.3">
      <c r="A87" s="11">
        <v>15</v>
      </c>
      <c r="B87" s="11">
        <v>2</v>
      </c>
      <c r="C87" s="1">
        <v>1</v>
      </c>
      <c r="D87" s="1">
        <v>0</v>
      </c>
      <c r="E87" s="1">
        <v>0</v>
      </c>
      <c r="F87" s="1">
        <v>0</v>
      </c>
    </row>
    <row r="88" spans="1:6" x14ac:dyDescent="0.3">
      <c r="A88" s="11">
        <v>15</v>
      </c>
      <c r="B88" s="11">
        <v>3</v>
      </c>
      <c r="C88" s="1">
        <v>1</v>
      </c>
      <c r="D88" s="1">
        <v>0</v>
      </c>
      <c r="E88" s="1">
        <v>0</v>
      </c>
      <c r="F88" s="1">
        <v>0</v>
      </c>
    </row>
    <row r="89" spans="1:6" x14ac:dyDescent="0.3">
      <c r="A89" s="11">
        <v>15</v>
      </c>
      <c r="B89" s="11">
        <v>4</v>
      </c>
      <c r="C89" s="1">
        <v>0</v>
      </c>
      <c r="D89" s="1">
        <v>1</v>
      </c>
      <c r="E89" s="1">
        <v>0</v>
      </c>
      <c r="F89" s="1">
        <v>0</v>
      </c>
    </row>
    <row r="90" spans="1:6" x14ac:dyDescent="0.3">
      <c r="A90" s="11">
        <v>15</v>
      </c>
      <c r="B90" s="11">
        <v>5</v>
      </c>
      <c r="C90" s="1">
        <v>0</v>
      </c>
      <c r="D90" s="1">
        <v>1</v>
      </c>
      <c r="E90" s="1">
        <v>0</v>
      </c>
      <c r="F90" s="1">
        <v>0</v>
      </c>
    </row>
    <row r="91" spans="1:6" x14ac:dyDescent="0.3">
      <c r="A91" s="11">
        <v>15</v>
      </c>
      <c r="B91" s="11">
        <v>6</v>
      </c>
      <c r="C91" s="1">
        <v>0</v>
      </c>
      <c r="D91" s="1">
        <v>1</v>
      </c>
      <c r="E91" s="1">
        <v>0</v>
      </c>
      <c r="F91" s="1">
        <v>0</v>
      </c>
    </row>
    <row r="92" spans="1:6" x14ac:dyDescent="0.3">
      <c r="A92" s="11">
        <v>16</v>
      </c>
      <c r="B92" s="11">
        <v>1</v>
      </c>
      <c r="C92" s="1">
        <v>0</v>
      </c>
      <c r="D92" s="1">
        <v>0</v>
      </c>
      <c r="E92" s="1">
        <v>0</v>
      </c>
      <c r="F92" s="1">
        <v>1</v>
      </c>
    </row>
    <row r="93" spans="1:6" x14ac:dyDescent="0.3">
      <c r="A93" s="11">
        <v>16</v>
      </c>
      <c r="B93" s="11">
        <v>2</v>
      </c>
      <c r="C93" s="1">
        <v>0</v>
      </c>
      <c r="D93" s="1">
        <v>1</v>
      </c>
      <c r="E93" s="1">
        <v>0</v>
      </c>
      <c r="F93" s="1">
        <v>0</v>
      </c>
    </row>
    <row r="94" spans="1:6" x14ac:dyDescent="0.3">
      <c r="A94" s="11">
        <v>16</v>
      </c>
      <c r="B94" s="11">
        <v>3</v>
      </c>
      <c r="C94" s="1">
        <v>1</v>
      </c>
      <c r="D94" s="1">
        <v>0</v>
      </c>
      <c r="E94" s="1">
        <v>0</v>
      </c>
      <c r="F94" s="1">
        <v>0</v>
      </c>
    </row>
    <row r="95" spans="1:6" x14ac:dyDescent="0.3">
      <c r="A95" s="11">
        <v>16</v>
      </c>
      <c r="B95" s="11">
        <v>4</v>
      </c>
      <c r="C95" s="1">
        <v>1</v>
      </c>
      <c r="D95" s="1">
        <v>0</v>
      </c>
      <c r="E95" s="1">
        <v>0</v>
      </c>
      <c r="F95" s="1">
        <v>0</v>
      </c>
    </row>
    <row r="96" spans="1:6" x14ac:dyDescent="0.3">
      <c r="A96" s="11">
        <v>16</v>
      </c>
      <c r="B96" s="11">
        <v>5</v>
      </c>
      <c r="C96" s="1">
        <v>1</v>
      </c>
      <c r="D96" s="1">
        <v>0</v>
      </c>
      <c r="E96" s="1">
        <v>0</v>
      </c>
      <c r="F96" s="1">
        <v>0</v>
      </c>
    </row>
    <row r="97" spans="1:6" x14ac:dyDescent="0.3">
      <c r="A97" s="11">
        <v>16</v>
      </c>
      <c r="B97" s="11">
        <v>6</v>
      </c>
      <c r="C97" s="1">
        <v>0</v>
      </c>
      <c r="D97" s="1">
        <v>0</v>
      </c>
      <c r="E97" s="1">
        <v>1</v>
      </c>
      <c r="F97" s="1">
        <v>0</v>
      </c>
    </row>
    <row r="98" spans="1:6" x14ac:dyDescent="0.3">
      <c r="A98" s="11">
        <v>17</v>
      </c>
      <c r="B98" s="11">
        <v>1</v>
      </c>
      <c r="C98" s="1">
        <v>0</v>
      </c>
      <c r="D98" s="1">
        <v>1</v>
      </c>
      <c r="E98" s="1">
        <v>0</v>
      </c>
      <c r="F98" s="1">
        <v>0</v>
      </c>
    </row>
    <row r="99" spans="1:6" x14ac:dyDescent="0.3">
      <c r="A99" s="11">
        <v>17</v>
      </c>
      <c r="B99" s="11">
        <v>2</v>
      </c>
      <c r="C99" s="1">
        <v>0</v>
      </c>
      <c r="D99" s="1">
        <v>1</v>
      </c>
      <c r="E99" s="1">
        <v>0</v>
      </c>
      <c r="F99" s="1">
        <v>0</v>
      </c>
    </row>
    <row r="100" spans="1:6" x14ac:dyDescent="0.3">
      <c r="A100" s="11">
        <v>17</v>
      </c>
      <c r="B100" s="11">
        <v>3</v>
      </c>
      <c r="C100" s="1">
        <v>0</v>
      </c>
      <c r="D100" s="1">
        <v>1</v>
      </c>
      <c r="E100" s="1">
        <v>0</v>
      </c>
      <c r="F100" s="1">
        <v>0</v>
      </c>
    </row>
    <row r="101" spans="1:6" x14ac:dyDescent="0.3">
      <c r="A101" s="11">
        <v>17</v>
      </c>
      <c r="B101" s="11">
        <v>4</v>
      </c>
      <c r="C101" s="1">
        <v>1</v>
      </c>
      <c r="D101" s="1">
        <v>0</v>
      </c>
      <c r="E101" s="1">
        <v>0</v>
      </c>
      <c r="F101" s="1">
        <v>0</v>
      </c>
    </row>
    <row r="102" spans="1:6" x14ac:dyDescent="0.3">
      <c r="A102" s="11">
        <v>17</v>
      </c>
      <c r="B102" s="11">
        <v>5</v>
      </c>
      <c r="C102" s="1">
        <v>1</v>
      </c>
      <c r="D102" s="1">
        <v>0</v>
      </c>
      <c r="E102" s="1">
        <v>0</v>
      </c>
      <c r="F102" s="1">
        <v>0</v>
      </c>
    </row>
    <row r="103" spans="1:6" x14ac:dyDescent="0.3">
      <c r="A103" s="11">
        <v>17</v>
      </c>
      <c r="B103" s="11">
        <v>6</v>
      </c>
      <c r="C103" s="1">
        <v>1</v>
      </c>
      <c r="D103" s="1">
        <v>0</v>
      </c>
      <c r="E103" s="1">
        <v>0</v>
      </c>
      <c r="F103" s="1">
        <v>0</v>
      </c>
    </row>
    <row r="104" spans="1:6" x14ac:dyDescent="0.3">
      <c r="A104" s="11">
        <v>18</v>
      </c>
      <c r="B104" s="11">
        <v>1</v>
      </c>
      <c r="C104" s="1">
        <v>0</v>
      </c>
      <c r="D104" s="1">
        <v>0</v>
      </c>
      <c r="E104" s="1">
        <v>0</v>
      </c>
      <c r="F104" s="1">
        <v>1</v>
      </c>
    </row>
    <row r="105" spans="1:6" x14ac:dyDescent="0.3">
      <c r="A105" s="11">
        <v>18</v>
      </c>
      <c r="B105" s="11">
        <v>2</v>
      </c>
      <c r="C105" s="1">
        <v>1</v>
      </c>
      <c r="D105" s="1">
        <v>0</v>
      </c>
      <c r="E105" s="1">
        <v>0</v>
      </c>
      <c r="F105" s="1">
        <v>0</v>
      </c>
    </row>
    <row r="106" spans="1:6" x14ac:dyDescent="0.3">
      <c r="A106" s="11">
        <v>18</v>
      </c>
      <c r="B106" s="11">
        <v>3</v>
      </c>
      <c r="C106" s="1">
        <v>0</v>
      </c>
      <c r="D106" s="1">
        <v>0</v>
      </c>
      <c r="E106" s="1">
        <v>1</v>
      </c>
      <c r="F106" s="1">
        <v>0</v>
      </c>
    </row>
    <row r="107" spans="1:6" x14ac:dyDescent="0.3">
      <c r="A107" s="11">
        <v>18</v>
      </c>
      <c r="B107" s="11">
        <v>4</v>
      </c>
      <c r="C107" s="1">
        <v>0</v>
      </c>
      <c r="D107" s="1">
        <v>1</v>
      </c>
      <c r="E107" s="1">
        <v>0</v>
      </c>
      <c r="F107" s="1">
        <v>0</v>
      </c>
    </row>
    <row r="108" spans="1:6" x14ac:dyDescent="0.3">
      <c r="A108" s="11">
        <v>18</v>
      </c>
      <c r="B108" s="11">
        <v>5</v>
      </c>
      <c r="C108" s="1">
        <v>0</v>
      </c>
      <c r="D108" s="1">
        <v>1</v>
      </c>
      <c r="E108" s="1">
        <v>0</v>
      </c>
      <c r="F108" s="1">
        <v>0</v>
      </c>
    </row>
    <row r="109" spans="1:6" x14ac:dyDescent="0.3">
      <c r="A109" s="11">
        <v>18</v>
      </c>
      <c r="B109" s="11">
        <v>6</v>
      </c>
      <c r="C109" s="1">
        <v>0</v>
      </c>
      <c r="D109" s="1">
        <v>1</v>
      </c>
      <c r="E109" s="1">
        <v>0</v>
      </c>
      <c r="F109" s="1">
        <v>0</v>
      </c>
    </row>
    <row r="110" spans="1:6" x14ac:dyDescent="0.3">
      <c r="A110" s="11">
        <v>19</v>
      </c>
      <c r="B110" s="11">
        <v>1</v>
      </c>
      <c r="C110" s="1">
        <v>1</v>
      </c>
      <c r="D110" s="1">
        <v>0</v>
      </c>
      <c r="E110" s="1">
        <v>0</v>
      </c>
      <c r="F110" s="1">
        <v>0</v>
      </c>
    </row>
    <row r="111" spans="1:6" x14ac:dyDescent="0.3">
      <c r="A111" s="11">
        <v>19</v>
      </c>
      <c r="B111" s="11">
        <v>2</v>
      </c>
      <c r="C111" s="1">
        <v>0</v>
      </c>
      <c r="D111" s="1">
        <v>1</v>
      </c>
      <c r="E111" s="1">
        <v>0</v>
      </c>
      <c r="F111" s="1">
        <v>0</v>
      </c>
    </row>
    <row r="112" spans="1:6" x14ac:dyDescent="0.3">
      <c r="A112" s="11">
        <v>19</v>
      </c>
      <c r="B112" s="11">
        <v>3</v>
      </c>
      <c r="C112" s="1">
        <v>0</v>
      </c>
      <c r="D112" s="1">
        <v>1</v>
      </c>
      <c r="E112" s="1">
        <v>0</v>
      </c>
      <c r="F112" s="1">
        <v>0</v>
      </c>
    </row>
    <row r="113" spans="1:6" x14ac:dyDescent="0.3">
      <c r="A113" s="11">
        <v>19</v>
      </c>
      <c r="B113" s="11">
        <v>4</v>
      </c>
      <c r="C113" s="1">
        <v>1</v>
      </c>
      <c r="D113" s="1">
        <v>0</v>
      </c>
      <c r="E113" s="1">
        <v>0</v>
      </c>
      <c r="F113" s="1">
        <v>0</v>
      </c>
    </row>
    <row r="114" spans="1:6" x14ac:dyDescent="0.3">
      <c r="A114" s="11">
        <v>19</v>
      </c>
      <c r="B114" s="11">
        <v>5</v>
      </c>
      <c r="C114" s="1">
        <v>1</v>
      </c>
      <c r="D114" s="1">
        <v>0</v>
      </c>
      <c r="E114" s="1">
        <v>0</v>
      </c>
      <c r="F114" s="1">
        <v>0</v>
      </c>
    </row>
    <row r="115" spans="1:6" x14ac:dyDescent="0.3">
      <c r="A115" s="11">
        <v>19</v>
      </c>
      <c r="B115" s="11">
        <v>6</v>
      </c>
      <c r="C115" s="1">
        <v>1</v>
      </c>
      <c r="D115" s="1">
        <v>0</v>
      </c>
      <c r="E115" s="1">
        <v>0</v>
      </c>
      <c r="F115" s="1">
        <v>0</v>
      </c>
    </row>
    <row r="116" spans="1:6" x14ac:dyDescent="0.3">
      <c r="A116" s="11">
        <v>20</v>
      </c>
      <c r="B116" s="11">
        <v>1</v>
      </c>
      <c r="C116" s="1">
        <v>0</v>
      </c>
      <c r="D116" s="1">
        <v>0</v>
      </c>
      <c r="E116" s="1">
        <v>0</v>
      </c>
      <c r="F116" s="1">
        <v>1</v>
      </c>
    </row>
    <row r="117" spans="1:6" x14ac:dyDescent="0.3">
      <c r="A117" s="11">
        <v>20</v>
      </c>
      <c r="B117" s="11">
        <v>2</v>
      </c>
      <c r="C117" s="1">
        <v>0</v>
      </c>
      <c r="D117" s="1">
        <v>1</v>
      </c>
      <c r="E117" s="1">
        <v>0</v>
      </c>
      <c r="F117" s="1">
        <v>0</v>
      </c>
    </row>
    <row r="118" spans="1:6" x14ac:dyDescent="0.3">
      <c r="A118" s="11">
        <v>20</v>
      </c>
      <c r="B118" s="11">
        <v>3</v>
      </c>
      <c r="C118" s="1">
        <v>0</v>
      </c>
      <c r="D118" s="1">
        <v>1</v>
      </c>
      <c r="E118" s="1">
        <v>0</v>
      </c>
      <c r="F118" s="1">
        <v>0</v>
      </c>
    </row>
    <row r="119" spans="1:6" x14ac:dyDescent="0.3">
      <c r="A119" s="11">
        <v>20</v>
      </c>
      <c r="B119" s="11">
        <v>4</v>
      </c>
      <c r="C119" s="1">
        <v>0</v>
      </c>
      <c r="D119" s="1">
        <v>0</v>
      </c>
      <c r="E119" s="1">
        <v>0</v>
      </c>
      <c r="F119" s="1">
        <v>1</v>
      </c>
    </row>
    <row r="120" spans="1:6" x14ac:dyDescent="0.3">
      <c r="A120" s="11">
        <v>20</v>
      </c>
      <c r="B120" s="11">
        <v>5</v>
      </c>
      <c r="C120" s="1">
        <v>0</v>
      </c>
      <c r="D120" s="1">
        <v>0</v>
      </c>
      <c r="E120" s="1">
        <v>0</v>
      </c>
      <c r="F120" s="1">
        <v>1</v>
      </c>
    </row>
    <row r="121" spans="1:6" x14ac:dyDescent="0.3">
      <c r="A121" s="11">
        <v>20</v>
      </c>
      <c r="B121" s="11">
        <v>6</v>
      </c>
      <c r="C121" s="1">
        <v>0</v>
      </c>
      <c r="D121" s="1">
        <v>0</v>
      </c>
      <c r="E121" s="1">
        <v>0</v>
      </c>
      <c r="F121" s="1">
        <v>1</v>
      </c>
    </row>
    <row r="122" spans="1:6" x14ac:dyDescent="0.3">
      <c r="A122" s="11">
        <v>21</v>
      </c>
      <c r="B122" s="11">
        <v>1</v>
      </c>
      <c r="C122" s="1">
        <v>0</v>
      </c>
      <c r="D122" s="1">
        <v>0</v>
      </c>
      <c r="E122" s="1">
        <v>0</v>
      </c>
      <c r="F122" s="1">
        <v>1</v>
      </c>
    </row>
    <row r="123" spans="1:6" x14ac:dyDescent="0.3">
      <c r="A123" s="11">
        <v>21</v>
      </c>
      <c r="B123" s="11">
        <v>2</v>
      </c>
      <c r="C123" s="1">
        <v>1</v>
      </c>
      <c r="D123" s="1">
        <v>0</v>
      </c>
      <c r="E123" s="1">
        <v>0</v>
      </c>
      <c r="F123" s="1">
        <v>0</v>
      </c>
    </row>
    <row r="124" spans="1:6" x14ac:dyDescent="0.3">
      <c r="A124" s="11">
        <v>21</v>
      </c>
      <c r="B124" s="11">
        <v>3</v>
      </c>
      <c r="C124" s="1">
        <v>1</v>
      </c>
      <c r="D124" s="1">
        <v>0</v>
      </c>
      <c r="E124" s="1">
        <v>0</v>
      </c>
      <c r="F124" s="1">
        <v>0</v>
      </c>
    </row>
    <row r="125" spans="1:6" x14ac:dyDescent="0.3">
      <c r="A125" s="11">
        <v>21</v>
      </c>
      <c r="B125" s="11">
        <v>4</v>
      </c>
      <c r="C125" s="1">
        <v>0</v>
      </c>
      <c r="D125" s="1">
        <v>1</v>
      </c>
      <c r="E125" s="1">
        <v>0</v>
      </c>
      <c r="F125" s="1">
        <v>0</v>
      </c>
    </row>
    <row r="126" spans="1:6" x14ac:dyDescent="0.3">
      <c r="A126" s="11">
        <v>21</v>
      </c>
      <c r="B126" s="11">
        <v>5</v>
      </c>
      <c r="C126" s="1">
        <v>0</v>
      </c>
      <c r="D126" s="1">
        <v>0</v>
      </c>
      <c r="E126" s="1">
        <v>0</v>
      </c>
      <c r="F126" s="1">
        <v>1</v>
      </c>
    </row>
    <row r="127" spans="1:6" x14ac:dyDescent="0.3">
      <c r="A127" s="11">
        <v>21</v>
      </c>
      <c r="B127" s="11">
        <v>6</v>
      </c>
      <c r="C127" s="1">
        <v>0</v>
      </c>
      <c r="D127" s="1">
        <v>0</v>
      </c>
      <c r="E127" s="1">
        <v>0</v>
      </c>
      <c r="F127" s="1">
        <v>1</v>
      </c>
    </row>
    <row r="128" spans="1:6" x14ac:dyDescent="0.3">
      <c r="A128" s="11">
        <v>22</v>
      </c>
      <c r="B128" s="11">
        <v>1</v>
      </c>
      <c r="C128" s="1">
        <v>0</v>
      </c>
      <c r="D128" s="1">
        <v>0</v>
      </c>
      <c r="E128" s="1">
        <v>0</v>
      </c>
      <c r="F128" s="1">
        <v>1</v>
      </c>
    </row>
    <row r="129" spans="1:6" x14ac:dyDescent="0.3">
      <c r="A129" s="11">
        <v>22</v>
      </c>
      <c r="B129" s="11">
        <v>2</v>
      </c>
      <c r="C129" s="1">
        <v>0</v>
      </c>
      <c r="D129" s="1">
        <v>1</v>
      </c>
      <c r="E129" s="1">
        <v>0</v>
      </c>
      <c r="F129" s="1">
        <v>0</v>
      </c>
    </row>
    <row r="130" spans="1:6" x14ac:dyDescent="0.3">
      <c r="A130" s="11">
        <v>22</v>
      </c>
      <c r="B130" s="11">
        <v>3</v>
      </c>
      <c r="C130" s="1">
        <v>0</v>
      </c>
      <c r="D130" s="1">
        <v>0</v>
      </c>
      <c r="E130" s="1">
        <v>1</v>
      </c>
      <c r="F130" s="1">
        <v>0</v>
      </c>
    </row>
    <row r="131" spans="1:6" x14ac:dyDescent="0.3">
      <c r="A131" s="11">
        <v>22</v>
      </c>
      <c r="B131" s="11">
        <v>4</v>
      </c>
      <c r="C131" s="1">
        <v>0</v>
      </c>
      <c r="D131" s="1">
        <v>0</v>
      </c>
      <c r="E131" s="1">
        <v>1</v>
      </c>
      <c r="F131" s="1">
        <v>0</v>
      </c>
    </row>
    <row r="132" spans="1:6" x14ac:dyDescent="0.3">
      <c r="A132" s="11">
        <v>22</v>
      </c>
      <c r="B132" s="11">
        <v>5</v>
      </c>
      <c r="C132" s="1">
        <v>0</v>
      </c>
      <c r="D132" s="1">
        <v>0</v>
      </c>
      <c r="E132" s="1">
        <v>1</v>
      </c>
      <c r="F132" s="1">
        <v>0</v>
      </c>
    </row>
    <row r="133" spans="1:6" x14ac:dyDescent="0.3">
      <c r="A133" s="11">
        <v>22</v>
      </c>
      <c r="B133" s="11">
        <v>6</v>
      </c>
      <c r="C133" s="1">
        <v>0</v>
      </c>
      <c r="D133" s="1">
        <v>1</v>
      </c>
      <c r="E133" s="1">
        <v>0</v>
      </c>
      <c r="F133" s="1">
        <v>0</v>
      </c>
    </row>
    <row r="134" spans="1:6" x14ac:dyDescent="0.3">
      <c r="A134" s="11">
        <v>23</v>
      </c>
      <c r="B134" s="11">
        <v>1</v>
      </c>
      <c r="C134" s="1">
        <v>0</v>
      </c>
      <c r="D134" s="1">
        <v>0</v>
      </c>
      <c r="E134" s="1">
        <v>0</v>
      </c>
      <c r="F134" s="1">
        <v>1</v>
      </c>
    </row>
    <row r="135" spans="1:6" x14ac:dyDescent="0.3">
      <c r="A135" s="11">
        <v>23</v>
      </c>
      <c r="B135" s="11">
        <v>2</v>
      </c>
      <c r="C135" s="1">
        <v>0</v>
      </c>
      <c r="D135" s="1">
        <v>1</v>
      </c>
      <c r="E135" s="1">
        <v>0</v>
      </c>
      <c r="F135" s="1">
        <v>0</v>
      </c>
    </row>
    <row r="136" spans="1:6" x14ac:dyDescent="0.3">
      <c r="A136" s="11">
        <v>23</v>
      </c>
      <c r="B136" s="11">
        <v>3</v>
      </c>
      <c r="C136" s="1">
        <v>1</v>
      </c>
      <c r="D136" s="1">
        <v>0</v>
      </c>
      <c r="E136" s="1">
        <v>0</v>
      </c>
      <c r="F136" s="1">
        <v>0</v>
      </c>
    </row>
    <row r="137" spans="1:6" x14ac:dyDescent="0.3">
      <c r="A137" s="11">
        <v>23</v>
      </c>
      <c r="B137" s="11">
        <v>4</v>
      </c>
      <c r="C137" s="1">
        <v>1</v>
      </c>
      <c r="D137" s="1">
        <v>0</v>
      </c>
      <c r="E137" s="1">
        <v>0</v>
      </c>
      <c r="F137" s="1">
        <v>0</v>
      </c>
    </row>
    <row r="138" spans="1:6" x14ac:dyDescent="0.3">
      <c r="A138" s="11">
        <v>23</v>
      </c>
      <c r="B138" s="11">
        <v>5</v>
      </c>
      <c r="C138" s="1">
        <v>0</v>
      </c>
      <c r="D138" s="1">
        <v>1</v>
      </c>
      <c r="E138" s="1">
        <v>0</v>
      </c>
      <c r="F138" s="1">
        <v>0</v>
      </c>
    </row>
    <row r="139" spans="1:6" x14ac:dyDescent="0.3">
      <c r="A139" s="11">
        <v>23</v>
      </c>
      <c r="B139" s="11">
        <v>6</v>
      </c>
      <c r="C139" s="1">
        <v>0</v>
      </c>
      <c r="D139" s="1">
        <v>1</v>
      </c>
      <c r="E139" s="1">
        <v>0</v>
      </c>
      <c r="F139" s="1">
        <v>0</v>
      </c>
    </row>
    <row r="140" spans="1:6" x14ac:dyDescent="0.3">
      <c r="A140" s="11">
        <v>24</v>
      </c>
      <c r="B140" s="11">
        <v>1</v>
      </c>
      <c r="C140" s="1">
        <v>0</v>
      </c>
      <c r="D140" s="1">
        <v>0</v>
      </c>
      <c r="E140" s="1">
        <v>0</v>
      </c>
      <c r="F140" s="1">
        <v>1</v>
      </c>
    </row>
    <row r="141" spans="1:6" x14ac:dyDescent="0.3">
      <c r="A141" s="11">
        <v>24</v>
      </c>
      <c r="B141" s="11">
        <v>2</v>
      </c>
      <c r="C141" s="1">
        <v>0</v>
      </c>
      <c r="D141" s="1">
        <v>0</v>
      </c>
      <c r="E141" s="1">
        <v>1</v>
      </c>
      <c r="F141" s="1">
        <v>0</v>
      </c>
    </row>
    <row r="142" spans="1:6" x14ac:dyDescent="0.3">
      <c r="A142" s="11">
        <v>24</v>
      </c>
      <c r="B142" s="11">
        <v>3</v>
      </c>
      <c r="C142" s="1">
        <v>0</v>
      </c>
      <c r="D142" s="1">
        <v>0</v>
      </c>
      <c r="E142" s="1">
        <v>1</v>
      </c>
      <c r="F142" s="1">
        <v>0</v>
      </c>
    </row>
    <row r="143" spans="1:6" x14ac:dyDescent="0.3">
      <c r="A143" s="11">
        <v>24</v>
      </c>
      <c r="B143" s="11">
        <v>4</v>
      </c>
      <c r="C143" s="1">
        <v>0</v>
      </c>
      <c r="D143" s="1">
        <v>0</v>
      </c>
      <c r="E143" s="1">
        <v>1</v>
      </c>
      <c r="F143" s="1">
        <v>0</v>
      </c>
    </row>
    <row r="144" spans="1:6" x14ac:dyDescent="0.3">
      <c r="A144" s="11">
        <v>24</v>
      </c>
      <c r="B144" s="11">
        <v>5</v>
      </c>
      <c r="C144" s="1">
        <v>0</v>
      </c>
      <c r="D144" s="1">
        <v>0</v>
      </c>
      <c r="E144" s="1">
        <v>1</v>
      </c>
      <c r="F144" s="1">
        <v>0</v>
      </c>
    </row>
    <row r="145" spans="1:6" x14ac:dyDescent="0.3">
      <c r="A145" s="11">
        <v>24</v>
      </c>
      <c r="B145" s="11">
        <v>6</v>
      </c>
      <c r="C145" s="1">
        <v>0</v>
      </c>
      <c r="D145" s="1">
        <v>1</v>
      </c>
      <c r="E145" s="1">
        <v>0</v>
      </c>
      <c r="F145" s="1">
        <v>0</v>
      </c>
    </row>
    <row r="146" spans="1:6" x14ac:dyDescent="0.3">
      <c r="A146" s="11">
        <v>25</v>
      </c>
      <c r="B146" s="11">
        <v>1</v>
      </c>
      <c r="C146" s="1">
        <v>1</v>
      </c>
      <c r="D146" s="1">
        <v>0</v>
      </c>
      <c r="E146" s="1">
        <v>0</v>
      </c>
      <c r="F146" s="1">
        <v>0</v>
      </c>
    </row>
    <row r="147" spans="1:6" x14ac:dyDescent="0.3">
      <c r="A147" s="11">
        <v>25</v>
      </c>
      <c r="B147" s="11">
        <v>2</v>
      </c>
      <c r="C147" s="1">
        <v>0</v>
      </c>
      <c r="D147" s="1">
        <v>1</v>
      </c>
      <c r="E147" s="1">
        <v>0</v>
      </c>
      <c r="F147" s="1">
        <v>0</v>
      </c>
    </row>
    <row r="148" spans="1:6" x14ac:dyDescent="0.3">
      <c r="A148" s="11">
        <v>25</v>
      </c>
      <c r="B148" s="11">
        <v>3</v>
      </c>
      <c r="C148" s="1">
        <v>0</v>
      </c>
      <c r="D148" s="1">
        <v>1</v>
      </c>
      <c r="E148" s="1">
        <v>0</v>
      </c>
      <c r="F148" s="1">
        <v>0</v>
      </c>
    </row>
    <row r="149" spans="1:6" x14ac:dyDescent="0.3">
      <c r="A149" s="11">
        <v>25</v>
      </c>
      <c r="B149" s="11">
        <v>4</v>
      </c>
      <c r="C149" s="1">
        <v>1</v>
      </c>
      <c r="D149" s="1">
        <v>0</v>
      </c>
      <c r="E149" s="1">
        <v>0</v>
      </c>
      <c r="F149" s="1">
        <v>0</v>
      </c>
    </row>
    <row r="150" spans="1:6" x14ac:dyDescent="0.3">
      <c r="A150" s="11">
        <v>25</v>
      </c>
      <c r="B150" s="11">
        <v>5</v>
      </c>
      <c r="C150" s="1">
        <v>1</v>
      </c>
      <c r="D150" s="1">
        <v>0</v>
      </c>
      <c r="E150" s="1">
        <v>0</v>
      </c>
      <c r="F150" s="1">
        <v>0</v>
      </c>
    </row>
    <row r="151" spans="1:6" x14ac:dyDescent="0.3">
      <c r="A151" s="11">
        <v>25</v>
      </c>
      <c r="B151" s="11">
        <v>6</v>
      </c>
      <c r="C151" s="1">
        <v>1</v>
      </c>
      <c r="D151" s="1">
        <v>0</v>
      </c>
      <c r="E151" s="1">
        <v>0</v>
      </c>
      <c r="F151" s="1">
        <v>0</v>
      </c>
    </row>
    <row r="152" spans="1:6" x14ac:dyDescent="0.3">
      <c r="A152" s="11">
        <v>26</v>
      </c>
      <c r="B152" s="11">
        <v>1</v>
      </c>
      <c r="C152" s="1">
        <v>0</v>
      </c>
      <c r="D152" s="1">
        <v>0</v>
      </c>
      <c r="E152" s="1">
        <v>0</v>
      </c>
      <c r="F152" s="1">
        <v>1</v>
      </c>
    </row>
    <row r="153" spans="1:6" x14ac:dyDescent="0.3">
      <c r="A153" s="11">
        <v>26</v>
      </c>
      <c r="B153" s="11">
        <v>2</v>
      </c>
      <c r="C153" s="1">
        <v>0</v>
      </c>
      <c r="D153" s="1">
        <v>1</v>
      </c>
      <c r="E153" s="1">
        <v>0</v>
      </c>
      <c r="F153" s="1">
        <v>0</v>
      </c>
    </row>
    <row r="154" spans="1:6" x14ac:dyDescent="0.3">
      <c r="A154" s="11">
        <v>26</v>
      </c>
      <c r="B154" s="11">
        <v>3</v>
      </c>
      <c r="C154" s="1">
        <v>1</v>
      </c>
      <c r="D154" s="1">
        <v>0</v>
      </c>
      <c r="E154" s="1">
        <v>0</v>
      </c>
      <c r="F154" s="1">
        <v>0</v>
      </c>
    </row>
    <row r="155" spans="1:6" x14ac:dyDescent="0.3">
      <c r="A155" s="11">
        <v>26</v>
      </c>
      <c r="B155" s="11">
        <v>4</v>
      </c>
      <c r="C155" s="1">
        <v>1</v>
      </c>
      <c r="D155" s="1">
        <v>0</v>
      </c>
      <c r="E155" s="1">
        <v>0</v>
      </c>
      <c r="F155" s="1">
        <v>0</v>
      </c>
    </row>
    <row r="156" spans="1:6" x14ac:dyDescent="0.3">
      <c r="A156" s="11">
        <v>26</v>
      </c>
      <c r="B156" s="11">
        <v>5</v>
      </c>
      <c r="C156" s="1">
        <v>1</v>
      </c>
      <c r="D156" s="1">
        <v>0</v>
      </c>
      <c r="E156" s="1">
        <v>0</v>
      </c>
      <c r="F156" s="1">
        <v>0</v>
      </c>
    </row>
    <row r="157" spans="1:6" x14ac:dyDescent="0.3">
      <c r="A157" s="11">
        <v>26</v>
      </c>
      <c r="B157" s="11">
        <v>6</v>
      </c>
      <c r="C157" s="1">
        <v>0</v>
      </c>
      <c r="D157" s="1">
        <v>0</v>
      </c>
      <c r="E157" s="1">
        <v>1</v>
      </c>
      <c r="F157" s="1">
        <v>0</v>
      </c>
    </row>
    <row r="158" spans="1:6" x14ac:dyDescent="0.3">
      <c r="A158" s="11">
        <v>27</v>
      </c>
      <c r="B158" s="11">
        <v>1</v>
      </c>
      <c r="C158" s="1">
        <v>1</v>
      </c>
      <c r="D158" s="1">
        <v>0</v>
      </c>
      <c r="E158" s="1">
        <v>0</v>
      </c>
      <c r="F158" s="1">
        <v>0</v>
      </c>
    </row>
    <row r="159" spans="1:6" x14ac:dyDescent="0.3">
      <c r="A159" s="11">
        <v>27</v>
      </c>
      <c r="B159" s="11">
        <v>2</v>
      </c>
      <c r="C159" s="1">
        <v>0</v>
      </c>
      <c r="D159" s="1">
        <v>0</v>
      </c>
      <c r="E159" s="1">
        <v>1</v>
      </c>
      <c r="F159" s="1">
        <v>0</v>
      </c>
    </row>
    <row r="160" spans="1:6" x14ac:dyDescent="0.3">
      <c r="A160" s="11">
        <v>27</v>
      </c>
      <c r="B160" s="11">
        <v>3</v>
      </c>
      <c r="C160" s="1">
        <v>0</v>
      </c>
      <c r="D160" s="1">
        <v>0</v>
      </c>
      <c r="E160" s="1">
        <v>1</v>
      </c>
      <c r="F160" s="1">
        <v>0</v>
      </c>
    </row>
    <row r="161" spans="1:6" x14ac:dyDescent="0.3">
      <c r="A161" s="11">
        <v>27</v>
      </c>
      <c r="B161" s="11">
        <v>4</v>
      </c>
      <c r="C161" s="1">
        <v>0</v>
      </c>
      <c r="D161" s="1">
        <v>0</v>
      </c>
      <c r="E161" s="1">
        <v>1</v>
      </c>
      <c r="F161" s="1">
        <v>0</v>
      </c>
    </row>
    <row r="162" spans="1:6" x14ac:dyDescent="0.3">
      <c r="A162" s="11">
        <v>27</v>
      </c>
      <c r="B162" s="11">
        <v>5</v>
      </c>
      <c r="C162" s="1">
        <v>0</v>
      </c>
      <c r="D162" s="1">
        <v>0</v>
      </c>
      <c r="E162" s="1">
        <v>1</v>
      </c>
      <c r="F162" s="1">
        <v>0</v>
      </c>
    </row>
    <row r="163" spans="1:6" x14ac:dyDescent="0.3">
      <c r="A163" s="11">
        <v>27</v>
      </c>
      <c r="B163" s="11">
        <v>6</v>
      </c>
      <c r="C163" s="1">
        <v>0</v>
      </c>
      <c r="D163" s="1">
        <v>1</v>
      </c>
      <c r="E163" s="1">
        <v>0</v>
      </c>
      <c r="F163" s="1">
        <v>0</v>
      </c>
    </row>
    <row r="164" spans="1:6" x14ac:dyDescent="0.3">
      <c r="A164" s="11">
        <v>28</v>
      </c>
      <c r="B164" s="11">
        <v>1</v>
      </c>
      <c r="C164" s="1">
        <v>0</v>
      </c>
      <c r="D164" s="1">
        <v>0</v>
      </c>
      <c r="E164" s="1">
        <v>0</v>
      </c>
      <c r="F164" s="1">
        <v>1</v>
      </c>
    </row>
    <row r="165" spans="1:6" x14ac:dyDescent="0.3">
      <c r="A165" s="11">
        <v>28</v>
      </c>
      <c r="B165" s="11">
        <v>2</v>
      </c>
      <c r="C165" s="1">
        <v>1</v>
      </c>
      <c r="D165" s="1">
        <v>0</v>
      </c>
      <c r="E165" s="1">
        <v>0</v>
      </c>
      <c r="F165" s="1">
        <v>0</v>
      </c>
    </row>
    <row r="166" spans="1:6" x14ac:dyDescent="0.3">
      <c r="A166" s="11">
        <v>28</v>
      </c>
      <c r="B166" s="11">
        <v>3</v>
      </c>
      <c r="C166" s="1">
        <v>0</v>
      </c>
      <c r="D166" s="1">
        <v>0</v>
      </c>
      <c r="E166" s="1">
        <v>0</v>
      </c>
      <c r="F166" s="1">
        <v>1</v>
      </c>
    </row>
    <row r="167" spans="1:6" x14ac:dyDescent="0.3">
      <c r="A167" s="11">
        <v>28</v>
      </c>
      <c r="B167" s="11">
        <v>4</v>
      </c>
      <c r="C167" s="1">
        <v>0</v>
      </c>
      <c r="D167" s="1">
        <v>1</v>
      </c>
      <c r="E167" s="1">
        <v>0</v>
      </c>
      <c r="F167" s="1">
        <v>0</v>
      </c>
    </row>
    <row r="168" spans="1:6" x14ac:dyDescent="0.3">
      <c r="A168" s="11">
        <v>28</v>
      </c>
      <c r="B168" s="11">
        <v>5</v>
      </c>
      <c r="C168" s="1">
        <v>0</v>
      </c>
      <c r="D168" s="1">
        <v>1</v>
      </c>
      <c r="E168" s="1">
        <v>0</v>
      </c>
      <c r="F168" s="1">
        <v>0</v>
      </c>
    </row>
    <row r="169" spans="1:6" x14ac:dyDescent="0.3">
      <c r="A169" s="11">
        <v>28</v>
      </c>
      <c r="B169" s="11">
        <v>6</v>
      </c>
      <c r="C169" s="1">
        <v>0</v>
      </c>
      <c r="D169" s="1">
        <v>1</v>
      </c>
      <c r="E169" s="1">
        <v>0</v>
      </c>
      <c r="F169" s="1">
        <v>0</v>
      </c>
    </row>
    <row r="170" spans="1:6" x14ac:dyDescent="0.3">
      <c r="A170" s="11">
        <v>29</v>
      </c>
      <c r="B170" s="11">
        <v>1</v>
      </c>
      <c r="C170" s="1">
        <v>0</v>
      </c>
      <c r="D170" s="1">
        <v>0</v>
      </c>
      <c r="E170" s="1">
        <v>0</v>
      </c>
      <c r="F170" s="1">
        <v>1</v>
      </c>
    </row>
    <row r="171" spans="1:6" x14ac:dyDescent="0.3">
      <c r="A171" s="11">
        <v>29</v>
      </c>
      <c r="B171" s="11">
        <v>2</v>
      </c>
      <c r="C171" s="1">
        <v>0</v>
      </c>
      <c r="D171" s="1">
        <v>0</v>
      </c>
      <c r="E171" s="1">
        <v>1</v>
      </c>
      <c r="F171" s="1">
        <v>0</v>
      </c>
    </row>
    <row r="172" spans="1:6" x14ac:dyDescent="0.3">
      <c r="A172" s="11">
        <v>29</v>
      </c>
      <c r="B172" s="11">
        <v>3</v>
      </c>
      <c r="C172" s="1">
        <v>0</v>
      </c>
      <c r="D172" s="1">
        <v>0</v>
      </c>
      <c r="E172" s="1">
        <v>1</v>
      </c>
      <c r="F172" s="1">
        <v>0</v>
      </c>
    </row>
    <row r="173" spans="1:6" x14ac:dyDescent="0.3">
      <c r="A173" s="11">
        <v>29</v>
      </c>
      <c r="B173" s="11">
        <v>4</v>
      </c>
      <c r="C173" s="1">
        <v>0</v>
      </c>
      <c r="D173" s="1">
        <v>0</v>
      </c>
      <c r="E173" s="1">
        <v>1</v>
      </c>
      <c r="F173" s="1">
        <v>0</v>
      </c>
    </row>
    <row r="174" spans="1:6" x14ac:dyDescent="0.3">
      <c r="A174" s="11">
        <v>29</v>
      </c>
      <c r="B174" s="11">
        <v>5</v>
      </c>
      <c r="C174" s="1">
        <v>0</v>
      </c>
      <c r="D174" s="1">
        <v>1</v>
      </c>
      <c r="E174" s="1">
        <v>0</v>
      </c>
      <c r="F174" s="1">
        <v>0</v>
      </c>
    </row>
    <row r="175" spans="1:6" x14ac:dyDescent="0.3">
      <c r="A175" s="11">
        <v>29</v>
      </c>
      <c r="B175" s="11">
        <v>6</v>
      </c>
      <c r="C175" s="1">
        <v>0</v>
      </c>
      <c r="D175" s="1">
        <v>1</v>
      </c>
      <c r="E175" s="1">
        <v>0</v>
      </c>
      <c r="F175" s="1">
        <v>0</v>
      </c>
    </row>
    <row r="176" spans="1:6" x14ac:dyDescent="0.3">
      <c r="A176" s="11">
        <v>30</v>
      </c>
      <c r="B176" s="11">
        <v>1</v>
      </c>
      <c r="C176" s="1">
        <v>0</v>
      </c>
      <c r="D176" s="1">
        <v>0</v>
      </c>
      <c r="E176" s="1">
        <v>0</v>
      </c>
      <c r="F176" s="1">
        <v>1</v>
      </c>
    </row>
    <row r="177" spans="1:6" x14ac:dyDescent="0.3">
      <c r="A177" s="11">
        <v>30</v>
      </c>
      <c r="B177" s="11">
        <v>2</v>
      </c>
      <c r="C177" s="1">
        <v>0</v>
      </c>
      <c r="D177" s="1">
        <v>1</v>
      </c>
      <c r="E177" s="1">
        <v>0</v>
      </c>
      <c r="F177" s="1">
        <v>0</v>
      </c>
    </row>
    <row r="178" spans="1:6" x14ac:dyDescent="0.3">
      <c r="A178" s="11">
        <v>30</v>
      </c>
      <c r="B178" s="11">
        <v>3</v>
      </c>
      <c r="C178" s="1">
        <v>1</v>
      </c>
      <c r="D178" s="1">
        <v>0</v>
      </c>
      <c r="E178" s="1">
        <v>0</v>
      </c>
      <c r="F178" s="1">
        <v>0</v>
      </c>
    </row>
    <row r="179" spans="1:6" x14ac:dyDescent="0.3">
      <c r="A179" s="11">
        <v>30</v>
      </c>
      <c r="B179" s="11">
        <v>4</v>
      </c>
      <c r="C179" s="1">
        <v>1</v>
      </c>
      <c r="D179" s="1">
        <v>0</v>
      </c>
      <c r="E179" s="1">
        <v>0</v>
      </c>
      <c r="F179" s="1">
        <v>0</v>
      </c>
    </row>
    <row r="180" spans="1:6" x14ac:dyDescent="0.3">
      <c r="A180" s="11">
        <v>30</v>
      </c>
      <c r="B180" s="11">
        <v>5</v>
      </c>
      <c r="C180" s="1">
        <v>1</v>
      </c>
      <c r="D180" s="1">
        <v>0</v>
      </c>
      <c r="E180" s="1">
        <v>0</v>
      </c>
      <c r="F180" s="1">
        <v>0</v>
      </c>
    </row>
    <row r="181" spans="1:6" x14ac:dyDescent="0.3">
      <c r="A181" s="11">
        <v>30</v>
      </c>
      <c r="B181" s="11">
        <v>6</v>
      </c>
      <c r="C181" s="1">
        <v>0</v>
      </c>
      <c r="D181" s="1">
        <v>1</v>
      </c>
      <c r="E181" s="1">
        <v>0</v>
      </c>
      <c r="F181" s="1">
        <v>0</v>
      </c>
    </row>
    <row r="182" spans="1:6" x14ac:dyDescent="0.3">
      <c r="A182" s="11">
        <v>31</v>
      </c>
      <c r="B182" s="11">
        <v>1</v>
      </c>
      <c r="C182" s="1">
        <v>0</v>
      </c>
      <c r="D182" s="1">
        <v>0</v>
      </c>
      <c r="E182" s="1">
        <v>0</v>
      </c>
      <c r="F182" s="1">
        <v>1</v>
      </c>
    </row>
    <row r="183" spans="1:6" x14ac:dyDescent="0.3">
      <c r="A183" s="11">
        <v>31</v>
      </c>
      <c r="B183" s="11">
        <v>2</v>
      </c>
      <c r="C183" s="1">
        <v>0</v>
      </c>
      <c r="D183" s="1">
        <v>1</v>
      </c>
      <c r="E183" s="1">
        <v>0</v>
      </c>
      <c r="F183" s="1">
        <v>0</v>
      </c>
    </row>
    <row r="184" spans="1:6" x14ac:dyDescent="0.3">
      <c r="A184" s="11">
        <v>31</v>
      </c>
      <c r="B184" s="11">
        <v>3</v>
      </c>
      <c r="C184" s="1">
        <v>0</v>
      </c>
      <c r="D184" s="1">
        <v>0</v>
      </c>
      <c r="E184" s="1">
        <v>1</v>
      </c>
      <c r="F184" s="1">
        <v>0</v>
      </c>
    </row>
    <row r="185" spans="1:6" x14ac:dyDescent="0.3">
      <c r="A185" s="11">
        <v>31</v>
      </c>
      <c r="B185" s="11">
        <v>4</v>
      </c>
      <c r="C185" s="1">
        <v>0</v>
      </c>
      <c r="D185" s="1">
        <v>1</v>
      </c>
      <c r="E185" s="1">
        <v>0</v>
      </c>
      <c r="F185" s="1">
        <v>0</v>
      </c>
    </row>
    <row r="186" spans="1:6" x14ac:dyDescent="0.3">
      <c r="A186" s="11">
        <v>31</v>
      </c>
      <c r="B186" s="11">
        <v>5</v>
      </c>
      <c r="C186" s="1">
        <v>0</v>
      </c>
      <c r="D186" s="1">
        <v>1</v>
      </c>
      <c r="E186" s="1">
        <v>0</v>
      </c>
      <c r="F186" s="1">
        <v>0</v>
      </c>
    </row>
    <row r="187" spans="1:6" x14ac:dyDescent="0.3">
      <c r="A187" s="11">
        <v>31</v>
      </c>
      <c r="B187" s="11">
        <v>6</v>
      </c>
      <c r="C187" s="1">
        <v>0</v>
      </c>
      <c r="D187" s="1">
        <v>0</v>
      </c>
      <c r="E187" s="1">
        <v>1</v>
      </c>
      <c r="F187" s="1">
        <v>0</v>
      </c>
    </row>
    <row r="188" spans="1:6" x14ac:dyDescent="0.3">
      <c r="A188" s="11">
        <v>32</v>
      </c>
      <c r="B188" s="11">
        <v>1</v>
      </c>
      <c r="C188" s="1">
        <v>0</v>
      </c>
      <c r="D188" s="1">
        <v>0</v>
      </c>
      <c r="E188" s="1">
        <v>0</v>
      </c>
      <c r="F188" s="1">
        <v>1</v>
      </c>
    </row>
    <row r="189" spans="1:6" x14ac:dyDescent="0.3">
      <c r="A189" s="11">
        <v>32</v>
      </c>
      <c r="B189" s="11">
        <v>2</v>
      </c>
      <c r="C189" s="1">
        <v>1</v>
      </c>
      <c r="D189" s="1">
        <v>0</v>
      </c>
      <c r="E189" s="1">
        <v>0</v>
      </c>
      <c r="F189" s="1">
        <v>0</v>
      </c>
    </row>
    <row r="190" spans="1:6" x14ac:dyDescent="0.3">
      <c r="A190" s="11">
        <v>32</v>
      </c>
      <c r="B190" s="11">
        <v>3</v>
      </c>
      <c r="C190" s="1">
        <v>0</v>
      </c>
      <c r="D190" s="1">
        <v>0</v>
      </c>
      <c r="E190" s="1">
        <v>1</v>
      </c>
      <c r="F190" s="1">
        <v>0</v>
      </c>
    </row>
    <row r="191" spans="1:6" x14ac:dyDescent="0.3">
      <c r="A191" s="11">
        <v>32</v>
      </c>
      <c r="B191" s="11">
        <v>4</v>
      </c>
      <c r="C191" s="1">
        <v>0</v>
      </c>
      <c r="D191" s="1">
        <v>0</v>
      </c>
      <c r="E191" s="1">
        <v>1</v>
      </c>
      <c r="F191" s="1">
        <v>0</v>
      </c>
    </row>
    <row r="192" spans="1:6" x14ac:dyDescent="0.3">
      <c r="A192" s="11">
        <v>32</v>
      </c>
      <c r="B192" s="11">
        <v>5</v>
      </c>
      <c r="C192" s="1">
        <v>0</v>
      </c>
      <c r="D192" s="1">
        <v>1</v>
      </c>
      <c r="E192" s="1">
        <v>0</v>
      </c>
      <c r="F192" s="1">
        <v>0</v>
      </c>
    </row>
    <row r="193" spans="1:6" x14ac:dyDescent="0.3">
      <c r="A193" s="11">
        <v>32</v>
      </c>
      <c r="B193" s="11">
        <v>6</v>
      </c>
      <c r="C193" s="1">
        <v>0</v>
      </c>
      <c r="D193" s="1">
        <v>1</v>
      </c>
      <c r="E193" s="1">
        <v>0</v>
      </c>
      <c r="F193" s="1">
        <v>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7B942-D55D-484B-91B0-AE0C959B941F}">
  <sheetPr codeName="Sheet4"/>
  <dimension ref="A1:AM221"/>
  <sheetViews>
    <sheetView workbookViewId="0">
      <selection activeCell="D2" sqref="D2"/>
    </sheetView>
  </sheetViews>
  <sheetFormatPr defaultRowHeight="14.4" x14ac:dyDescent="0.3"/>
  <cols>
    <col min="2" max="2" width="10.44140625" bestFit="1" customWidth="1"/>
    <col min="3" max="3" width="15" bestFit="1" customWidth="1"/>
    <col min="4" max="4" width="16.33203125" bestFit="1" customWidth="1"/>
    <col min="20" max="20" width="3.44140625" customWidth="1"/>
    <col min="27" max="27" width="3.44140625" customWidth="1"/>
    <col min="34" max="34" width="3.44140625" customWidth="1"/>
  </cols>
  <sheetData>
    <row r="1" spans="1:39" ht="42.6" customHeight="1" x14ac:dyDescent="0.3">
      <c r="A1" s="1" t="s">
        <v>26</v>
      </c>
      <c r="B1" s="1" t="s">
        <v>6</v>
      </c>
      <c r="C1" s="1" t="s">
        <v>27</v>
      </c>
      <c r="D1" s="1" t="s">
        <v>15</v>
      </c>
      <c r="E1" s="1">
        <v>1</v>
      </c>
      <c r="F1" s="1">
        <v>2</v>
      </c>
      <c r="G1" s="1">
        <v>30</v>
      </c>
      <c r="H1" s="1">
        <v>7</v>
      </c>
      <c r="I1" s="1">
        <v>14</v>
      </c>
      <c r="J1" s="1">
        <v>3.5</v>
      </c>
      <c r="K1" s="1">
        <v>4</v>
      </c>
      <c r="L1" s="1">
        <v>4.5</v>
      </c>
      <c r="N1" s="24" t="s">
        <v>22</v>
      </c>
      <c r="O1" s="24" t="s">
        <v>21</v>
      </c>
      <c r="P1" s="24" t="s">
        <v>32</v>
      </c>
      <c r="Q1" s="24" t="s">
        <v>33</v>
      </c>
      <c r="R1" s="24" t="s">
        <v>34</v>
      </c>
      <c r="S1" s="24" t="s">
        <v>35</v>
      </c>
      <c r="U1" s="24" t="s">
        <v>22</v>
      </c>
      <c r="V1" s="24" t="s">
        <v>21</v>
      </c>
      <c r="W1" s="24" t="s">
        <v>36</v>
      </c>
      <c r="X1" s="24" t="s">
        <v>37</v>
      </c>
      <c r="Y1" s="24" t="s">
        <v>38</v>
      </c>
      <c r="Z1" s="24" t="s">
        <v>39</v>
      </c>
      <c r="AB1" s="24" t="s">
        <v>22</v>
      </c>
      <c r="AC1" s="24" t="s">
        <v>21</v>
      </c>
      <c r="AD1" s="24" t="s">
        <v>40</v>
      </c>
      <c r="AE1" s="24" t="s">
        <v>41</v>
      </c>
      <c r="AF1" s="24" t="s">
        <v>42</v>
      </c>
      <c r="AG1" s="24" t="s">
        <v>43</v>
      </c>
      <c r="AI1" s="24" t="s">
        <v>22</v>
      </c>
      <c r="AJ1" s="24" t="s">
        <v>21</v>
      </c>
      <c r="AK1" s="25" t="s">
        <v>44</v>
      </c>
      <c r="AL1" s="25" t="s">
        <v>45</v>
      </c>
      <c r="AM1" s="25" t="s">
        <v>46</v>
      </c>
    </row>
    <row r="2" spans="1:39" x14ac:dyDescent="0.3">
      <c r="A2" s="1">
        <v>-0.31352815855853916</v>
      </c>
      <c r="B2" s="1">
        <v>-1.1407000318204914</v>
      </c>
      <c r="C2" s="1">
        <v>0.28066986235554686</v>
      </c>
      <c r="D2" s="1">
        <v>3.5933145540256353E-2</v>
      </c>
      <c r="E2" s="1">
        <v>0.27346526149016043</v>
      </c>
      <c r="F2" s="1">
        <v>0.48020593812544515</v>
      </c>
      <c r="G2" s="1">
        <v>-0.16950017656656555</v>
      </c>
      <c r="H2" s="1">
        <v>1.5931446284930796E-2</v>
      </c>
      <c r="I2" s="1">
        <v>0.27023189264489678</v>
      </c>
      <c r="J2" s="1">
        <v>0.3721744375403373</v>
      </c>
      <c r="K2" s="1">
        <v>0.85651802034712998</v>
      </c>
      <c r="L2" s="1">
        <v>0.28356931391697865</v>
      </c>
      <c r="N2" s="11">
        <v>1</v>
      </c>
      <c r="O2" s="11">
        <v>1</v>
      </c>
      <c r="P2">
        <f>SUMPRODUCT($A$2:$L$2,'Survey Encoding'!C3:N3)</f>
        <v>-0.5677340101284214</v>
      </c>
      <c r="Q2">
        <f>SUMPRODUCT($A$2:$L$2,'Survey Encoding'!O3:Z3)</f>
        <v>-0.45781983272127458</v>
      </c>
      <c r="R2">
        <f>SUMPRODUCT($A$2:$L$2,'Survey Encoding'!AA3:AL3)</f>
        <v>-1.1407000318204914</v>
      </c>
      <c r="S2">
        <f>SUMPRODUCT($A$2:$L$2,'Survey Encoding'!AM3:AX3)</f>
        <v>-0.31352815855853916</v>
      </c>
      <c r="U2" s="11">
        <v>1</v>
      </c>
      <c r="V2" s="11">
        <v>1</v>
      </c>
      <c r="W2" s="1">
        <f>EXP(P2)</f>
        <v>0.56680836661762923</v>
      </c>
      <c r="X2" s="1">
        <f>EXP(Q2)</f>
        <v>0.63266145083175696</v>
      </c>
      <c r="Y2" s="1">
        <f>EXP(R2)</f>
        <v>0.31959521666873603</v>
      </c>
      <c r="Z2" s="1">
        <f>EXP(S2)</f>
        <v>0.73086379864279061</v>
      </c>
      <c r="AB2" s="11">
        <v>1</v>
      </c>
      <c r="AC2" s="11">
        <v>1</v>
      </c>
      <c r="AD2">
        <f>W2/SUM($W2:$Z2)</f>
        <v>0.25192279789671945</v>
      </c>
      <c r="AE2">
        <f>X2/SUM($W2:$Z2)</f>
        <v>0.28119176109913269</v>
      </c>
      <c r="AF2">
        <f t="shared" ref="AF2:AG17" si="0">Y2/SUM($W2:$Z2)</f>
        <v>0.14204681144361231</v>
      </c>
      <c r="AG2">
        <f t="shared" si="0"/>
        <v>0.32483862956053577</v>
      </c>
      <c r="AI2" s="11">
        <v>1</v>
      </c>
      <c r="AJ2" s="11">
        <v>1</v>
      </c>
      <c r="AK2">
        <f>SUMPRODUCT(AD2:AG2,'Coded Choice Data'!C2:F2)</f>
        <v>0.28119176109913269</v>
      </c>
      <c r="AL2">
        <f>LN(AK2)</f>
        <v>-1.2687184185533291</v>
      </c>
      <c r="AM2">
        <f>SUM(AL2:AL193)</f>
        <v>-243.41930048388724</v>
      </c>
    </row>
    <row r="3" spans="1:39" x14ac:dyDescent="0.3">
      <c r="N3" s="11">
        <v>1</v>
      </c>
      <c r="O3" s="11">
        <v>2</v>
      </c>
      <c r="P3">
        <f>SUMPRODUCT($A$2:$L$2,'Survey Encoding'!C4:N4)</f>
        <v>1.0311076931258887</v>
      </c>
      <c r="Q3">
        <f>SUMPRODUCT($A$2:$L$2,'Survey Encoding'!O4:Z4)</f>
        <v>1.3885885502977624</v>
      </c>
      <c r="R3">
        <f>SUMPRODUCT($A$2:$L$2,'Survey Encoding'!AA4:AL4)</f>
        <v>0.7637752520424238</v>
      </c>
      <c r="S3">
        <f>SUMPRODUCT($A$2:$L$2,'Survey Encoding'!AM4:AX4)</f>
        <v>-0.31352815855853916</v>
      </c>
      <c r="U3" s="11">
        <v>1</v>
      </c>
      <c r="V3" s="11">
        <v>2</v>
      </c>
      <c r="W3" s="1">
        <f t="shared" ref="W3:W66" si="1">EXP(P3)</f>
        <v>2.8041702751355775</v>
      </c>
      <c r="X3" s="1">
        <f t="shared" ref="X3:X66" si="2">EXP(Q3)</f>
        <v>4.0091872913740838</v>
      </c>
      <c r="Y3" s="1">
        <f t="shared" ref="Y3:Y66" si="3">EXP(R3)</f>
        <v>2.1463640092801262</v>
      </c>
      <c r="Z3" s="1">
        <f t="shared" ref="Z3:Z66" si="4">EXP(S3)</f>
        <v>0.73086379864279061</v>
      </c>
      <c r="AB3" s="11">
        <v>1</v>
      </c>
      <c r="AC3" s="11">
        <v>2</v>
      </c>
      <c r="AD3">
        <f t="shared" ref="AD3:AD66" si="5">W3/SUM($W3:$Z3)</f>
        <v>0.28937057636724789</v>
      </c>
      <c r="AE3">
        <f t="shared" ref="AE3:AE66" si="6">X3/SUM($W3:$Z3)</f>
        <v>0.41371982563115672</v>
      </c>
      <c r="AF3">
        <f t="shared" si="0"/>
        <v>0.22148961351117596</v>
      </c>
      <c r="AG3">
        <f t="shared" si="0"/>
        <v>7.5419984490419451E-2</v>
      </c>
      <c r="AI3" s="11">
        <v>1</v>
      </c>
      <c r="AJ3" s="11">
        <v>2</v>
      </c>
      <c r="AK3">
        <f>SUMPRODUCT(AD3:AG3,'Coded Choice Data'!C3:F3)</f>
        <v>0.22148961351117596</v>
      </c>
      <c r="AL3">
        <f t="shared" ref="AL3:AL66" si="7">LN(AK3)</f>
        <v>-1.5073795821937916</v>
      </c>
    </row>
    <row r="4" spans="1:39" x14ac:dyDescent="0.3">
      <c r="N4" s="11">
        <v>1</v>
      </c>
      <c r="O4" s="11">
        <v>3</v>
      </c>
      <c r="P4">
        <f>SUMPRODUCT($A$2:$L$2,'Survey Encoding'!C5:N5)</f>
        <v>0.15000228289066947</v>
      </c>
      <c r="Q4">
        <f>SUMPRODUCT($A$2:$L$2,'Survey Encoding'!O5:Z5)</f>
        <v>-0.5677340101284214</v>
      </c>
      <c r="R4">
        <f>SUMPRODUCT($A$2:$L$2,'Survey Encoding'!AA5:AL5)</f>
        <v>0.7637752520424238</v>
      </c>
      <c r="S4">
        <f>SUMPRODUCT($A$2:$L$2,'Survey Encoding'!AM5:AX5)</f>
        <v>-0.31352815855853916</v>
      </c>
      <c r="U4" s="11">
        <v>1</v>
      </c>
      <c r="V4" s="11">
        <v>3</v>
      </c>
      <c r="W4" s="1">
        <f t="shared" si="1"/>
        <v>1.1618368950718627</v>
      </c>
      <c r="X4" s="1">
        <f t="shared" si="2"/>
        <v>0.56680836661762923</v>
      </c>
      <c r="Y4" s="1">
        <f t="shared" si="3"/>
        <v>2.1463640092801262</v>
      </c>
      <c r="Z4" s="1">
        <f t="shared" si="4"/>
        <v>0.73086379864279061</v>
      </c>
      <c r="AB4" s="11">
        <v>1</v>
      </c>
      <c r="AC4" s="11">
        <v>3</v>
      </c>
      <c r="AD4">
        <f t="shared" si="5"/>
        <v>0.25225117529555219</v>
      </c>
      <c r="AE4">
        <f t="shared" si="6"/>
        <v>0.12306209008606635</v>
      </c>
      <c r="AF4">
        <f t="shared" si="0"/>
        <v>0.46600589656734631</v>
      </c>
      <c r="AG4">
        <f t="shared" si="0"/>
        <v>0.15868083805103511</v>
      </c>
      <c r="AI4" s="11">
        <v>1</v>
      </c>
      <c r="AJ4" s="11">
        <v>3</v>
      </c>
      <c r="AK4">
        <f>SUMPRODUCT(AD4:AG4,'Coded Choice Data'!C4:F4)</f>
        <v>0.46600589656734631</v>
      </c>
      <c r="AL4">
        <f t="shared" si="7"/>
        <v>-0.7635569913585506</v>
      </c>
    </row>
    <row r="5" spans="1:39" x14ac:dyDescent="0.3">
      <c r="N5" s="11">
        <v>1</v>
      </c>
      <c r="O5" s="11">
        <v>4</v>
      </c>
      <c r="P5">
        <f>SUMPRODUCT($A$2:$L$2,'Survey Encoding'!C6:N6)</f>
        <v>0.95180473721565084</v>
      </c>
      <c r="Q5">
        <f>SUMPRODUCT($A$2:$L$2,'Survey Encoding'!O6:Z6)</f>
        <v>1.0311076931258887</v>
      </c>
      <c r="R5">
        <f>SUMPRODUCT($A$2:$L$2,'Survey Encoding'!AA6:AL6)</f>
        <v>1.1267499129920266</v>
      </c>
      <c r="S5">
        <f>SUMPRODUCT($A$2:$L$2,'Survey Encoding'!AM6:AX6)</f>
        <v>-0.31352815855853916</v>
      </c>
      <c r="U5" s="11">
        <v>1</v>
      </c>
      <c r="V5" s="11">
        <v>4</v>
      </c>
      <c r="W5" s="1">
        <f t="shared" si="1"/>
        <v>2.5903803992282071</v>
      </c>
      <c r="X5" s="1">
        <f t="shared" si="2"/>
        <v>2.8041702751355775</v>
      </c>
      <c r="Y5" s="1">
        <f t="shared" si="3"/>
        <v>3.0856116792654009</v>
      </c>
      <c r="Z5" s="1">
        <f t="shared" si="4"/>
        <v>0.73086379864279061</v>
      </c>
      <c r="AB5" s="11">
        <v>1</v>
      </c>
      <c r="AC5" s="11">
        <v>4</v>
      </c>
      <c r="AD5">
        <f t="shared" si="5"/>
        <v>0.28122603892393339</v>
      </c>
      <c r="AE5">
        <f t="shared" si="6"/>
        <v>0.30443625159438997</v>
      </c>
      <c r="AF5">
        <f t="shared" si="0"/>
        <v>0.33499108875120381</v>
      </c>
      <c r="AG5">
        <f t="shared" si="0"/>
        <v>7.9346620730472786E-2</v>
      </c>
      <c r="AI5" s="11">
        <v>1</v>
      </c>
      <c r="AJ5" s="11">
        <v>4</v>
      </c>
      <c r="AK5">
        <f>SUMPRODUCT(AD5:AG5,'Coded Choice Data'!C5:F5)</f>
        <v>0.33499108875120381</v>
      </c>
      <c r="AL5">
        <f t="shared" si="7"/>
        <v>-1.0936513482535519</v>
      </c>
    </row>
    <row r="6" spans="1:39" x14ac:dyDescent="0.3">
      <c r="N6" s="11">
        <v>1</v>
      </c>
      <c r="O6" s="11">
        <v>5</v>
      </c>
      <c r="P6">
        <f>SUMPRODUCT($A$2:$L$2,'Survey Encoding'!C7:N7)</f>
        <v>1.3885885502977624</v>
      </c>
      <c r="Q6">
        <f>SUMPRODUCT($A$2:$L$2,'Survey Encoding'!O7:Z7)</f>
        <v>1.4106531441928372</v>
      </c>
      <c r="R6">
        <f>SUMPRODUCT($A$2:$L$2,'Survey Encoding'!AA7:AL7)</f>
        <v>1.1267499129920266</v>
      </c>
      <c r="S6">
        <f>SUMPRODUCT($A$2:$L$2,'Survey Encoding'!AM7:AX7)</f>
        <v>-0.31352815855853916</v>
      </c>
      <c r="U6" s="11">
        <v>1</v>
      </c>
      <c r="V6" s="11">
        <v>5</v>
      </c>
      <c r="W6" s="1">
        <f t="shared" si="1"/>
        <v>4.0091872913740838</v>
      </c>
      <c r="X6" s="1">
        <f t="shared" si="2"/>
        <v>4.0986315274095384</v>
      </c>
      <c r="Y6" s="1">
        <f t="shared" si="3"/>
        <v>3.0856116792654009</v>
      </c>
      <c r="Z6" s="1">
        <f t="shared" si="4"/>
        <v>0.73086379864279061</v>
      </c>
      <c r="AB6" s="11">
        <v>1</v>
      </c>
      <c r="AC6" s="11">
        <v>5</v>
      </c>
      <c r="AD6">
        <f t="shared" si="5"/>
        <v>0.33622008914073537</v>
      </c>
      <c r="AE6">
        <f t="shared" si="6"/>
        <v>0.34372109790569594</v>
      </c>
      <c r="AF6">
        <f t="shared" si="0"/>
        <v>0.25876681692781178</v>
      </c>
      <c r="AG6">
        <f t="shared" si="0"/>
        <v>6.1291996025756926E-2</v>
      </c>
      <c r="AI6" s="11">
        <v>1</v>
      </c>
      <c r="AJ6" s="11">
        <v>5</v>
      </c>
      <c r="AK6">
        <f>SUMPRODUCT(AD6:AG6,'Coded Choice Data'!C6:F6)</f>
        <v>0.25876681692781178</v>
      </c>
      <c r="AL6">
        <f t="shared" si="7"/>
        <v>-1.3518279435567824</v>
      </c>
    </row>
    <row r="7" spans="1:39" x14ac:dyDescent="0.3">
      <c r="N7" s="11">
        <v>1</v>
      </c>
      <c r="O7" s="11">
        <v>6</v>
      </c>
      <c r="P7">
        <f>SUMPRODUCT($A$2:$L$2,'Survey Encoding'!C8:N8)</f>
        <v>-1.1407000318204914</v>
      </c>
      <c r="Q7">
        <f>SUMPRODUCT($A$2:$L$2,'Survey Encoding'!O8:Z8)</f>
        <v>0.66877574618081503</v>
      </c>
      <c r="R7">
        <f>SUMPRODUCT($A$2:$L$2,'Survey Encoding'!AA8:AL8)</f>
        <v>0.15000228289066947</v>
      </c>
      <c r="S7">
        <f>SUMPRODUCT($A$2:$L$2,'Survey Encoding'!AM8:AX8)</f>
        <v>-0.31352815855853916</v>
      </c>
      <c r="U7" s="11">
        <v>1</v>
      </c>
      <c r="V7" s="11">
        <v>6</v>
      </c>
      <c r="W7" s="1">
        <f t="shared" si="1"/>
        <v>0.31959521666873603</v>
      </c>
      <c r="X7" s="1">
        <f t="shared" si="2"/>
        <v>1.9518463020380199</v>
      </c>
      <c r="Y7" s="1">
        <f t="shared" si="3"/>
        <v>1.1618368950718627</v>
      </c>
      <c r="Z7" s="1">
        <f t="shared" si="4"/>
        <v>0.73086379864279061</v>
      </c>
      <c r="AB7" s="11">
        <v>1</v>
      </c>
      <c r="AC7" s="11">
        <v>6</v>
      </c>
      <c r="AD7">
        <f t="shared" si="5"/>
        <v>7.6749352055124564E-2</v>
      </c>
      <c r="AE7">
        <f t="shared" si="6"/>
        <v>0.46872709971714432</v>
      </c>
      <c r="AF7">
        <f t="shared" si="0"/>
        <v>0.27900989827056494</v>
      </c>
      <c r="AG7">
        <f t="shared" si="0"/>
        <v>0.17551364995716615</v>
      </c>
      <c r="AI7" s="11">
        <v>1</v>
      </c>
      <c r="AJ7" s="11">
        <v>6</v>
      </c>
      <c r="AK7">
        <f>SUMPRODUCT(AD7:AG7,'Coded Choice Data'!C7:F7)</f>
        <v>0.17551364995716615</v>
      </c>
      <c r="AL7">
        <f t="shared" si="7"/>
        <v>-1.7400384615670219</v>
      </c>
    </row>
    <row r="8" spans="1:39" x14ac:dyDescent="0.3">
      <c r="N8" s="11">
        <v>2</v>
      </c>
      <c r="O8" s="11">
        <v>1</v>
      </c>
      <c r="P8">
        <f>SUMPRODUCT($A$2:$L$2,'Survey Encoding'!C9:N9)</f>
        <v>-0.5677340101284214</v>
      </c>
      <c r="Q8">
        <f>SUMPRODUCT($A$2:$L$2,'Survey Encoding'!O9:Z9)</f>
        <v>-0.45781983272127458</v>
      </c>
      <c r="R8">
        <f>SUMPRODUCT($A$2:$L$2,'Survey Encoding'!AA9:AL9)</f>
        <v>-1.1407000318204914</v>
      </c>
      <c r="S8">
        <f>SUMPRODUCT($A$2:$L$2,'Survey Encoding'!AM9:AX9)</f>
        <v>-0.31352815855853916</v>
      </c>
      <c r="U8" s="11">
        <v>2</v>
      </c>
      <c r="V8" s="11">
        <v>1</v>
      </c>
      <c r="W8" s="1">
        <f t="shared" si="1"/>
        <v>0.56680836661762923</v>
      </c>
      <c r="X8" s="1">
        <f t="shared" si="2"/>
        <v>0.63266145083175696</v>
      </c>
      <c r="Y8" s="1">
        <f t="shared" si="3"/>
        <v>0.31959521666873603</v>
      </c>
      <c r="Z8" s="1">
        <f t="shared" si="4"/>
        <v>0.73086379864279061</v>
      </c>
      <c r="AB8" s="11">
        <v>2</v>
      </c>
      <c r="AC8" s="11">
        <v>1</v>
      </c>
      <c r="AD8">
        <f t="shared" si="5"/>
        <v>0.25192279789671945</v>
      </c>
      <c r="AE8">
        <f t="shared" si="6"/>
        <v>0.28119176109913269</v>
      </c>
      <c r="AF8">
        <f t="shared" si="0"/>
        <v>0.14204681144361231</v>
      </c>
      <c r="AG8">
        <f t="shared" si="0"/>
        <v>0.32483862956053577</v>
      </c>
      <c r="AI8" s="11">
        <v>2</v>
      </c>
      <c r="AJ8" s="11">
        <v>1</v>
      </c>
      <c r="AK8">
        <f>SUMPRODUCT(AD8:AG8,'Coded Choice Data'!C8:F8)</f>
        <v>0.28119176109913269</v>
      </c>
      <c r="AL8">
        <f t="shared" si="7"/>
        <v>-1.2687184185533291</v>
      </c>
    </row>
    <row r="9" spans="1:39" x14ac:dyDescent="0.3">
      <c r="N9" s="11">
        <v>2</v>
      </c>
      <c r="O9" s="11">
        <v>2</v>
      </c>
      <c r="P9">
        <f>SUMPRODUCT($A$2:$L$2,'Survey Encoding'!C10:N10)</f>
        <v>1.0311076931258887</v>
      </c>
      <c r="Q9">
        <f>SUMPRODUCT($A$2:$L$2,'Survey Encoding'!O10:Z10)</f>
        <v>1.3885885502977624</v>
      </c>
      <c r="R9">
        <f>SUMPRODUCT($A$2:$L$2,'Survey Encoding'!AA10:AL10)</f>
        <v>0.7637752520424238</v>
      </c>
      <c r="S9">
        <f>SUMPRODUCT($A$2:$L$2,'Survey Encoding'!AM10:AX10)</f>
        <v>-0.31352815855853916</v>
      </c>
      <c r="U9" s="11">
        <v>2</v>
      </c>
      <c r="V9" s="11">
        <v>2</v>
      </c>
      <c r="W9" s="1">
        <f t="shared" si="1"/>
        <v>2.8041702751355775</v>
      </c>
      <c r="X9" s="1">
        <f t="shared" si="2"/>
        <v>4.0091872913740838</v>
      </c>
      <c r="Y9" s="1">
        <f t="shared" si="3"/>
        <v>2.1463640092801262</v>
      </c>
      <c r="Z9" s="1">
        <f t="shared" si="4"/>
        <v>0.73086379864279061</v>
      </c>
      <c r="AB9" s="11">
        <v>2</v>
      </c>
      <c r="AC9" s="11">
        <v>2</v>
      </c>
      <c r="AD9">
        <f t="shared" si="5"/>
        <v>0.28937057636724789</v>
      </c>
      <c r="AE9">
        <f t="shared" si="6"/>
        <v>0.41371982563115672</v>
      </c>
      <c r="AF9">
        <f t="shared" si="0"/>
        <v>0.22148961351117596</v>
      </c>
      <c r="AG9">
        <f t="shared" si="0"/>
        <v>7.5419984490419451E-2</v>
      </c>
      <c r="AI9" s="11">
        <v>2</v>
      </c>
      <c r="AJ9" s="11">
        <v>2</v>
      </c>
      <c r="AK9">
        <f>SUMPRODUCT(AD9:AG9,'Coded Choice Data'!C9:F9)</f>
        <v>7.5419984490419451E-2</v>
      </c>
      <c r="AL9">
        <f t="shared" si="7"/>
        <v>-2.5846829927947548</v>
      </c>
    </row>
    <row r="10" spans="1:39" x14ac:dyDescent="0.3">
      <c r="N10" s="11">
        <v>2</v>
      </c>
      <c r="O10" s="11">
        <v>3</v>
      </c>
      <c r="P10">
        <f>SUMPRODUCT($A$2:$L$2,'Survey Encoding'!C11:N11)</f>
        <v>0.15000228289066947</v>
      </c>
      <c r="Q10">
        <f>SUMPRODUCT($A$2:$L$2,'Survey Encoding'!O11:Z11)</f>
        <v>-0.5677340101284214</v>
      </c>
      <c r="R10">
        <f>SUMPRODUCT($A$2:$L$2,'Survey Encoding'!AA11:AL11)</f>
        <v>0.7637752520424238</v>
      </c>
      <c r="S10">
        <f>SUMPRODUCT($A$2:$L$2,'Survey Encoding'!AM11:AX11)</f>
        <v>-0.31352815855853916</v>
      </c>
      <c r="U10" s="11">
        <v>2</v>
      </c>
      <c r="V10" s="11">
        <v>3</v>
      </c>
      <c r="W10" s="1">
        <f t="shared" si="1"/>
        <v>1.1618368950718627</v>
      </c>
      <c r="X10" s="1">
        <f t="shared" si="2"/>
        <v>0.56680836661762923</v>
      </c>
      <c r="Y10" s="1">
        <f t="shared" si="3"/>
        <v>2.1463640092801262</v>
      </c>
      <c r="Z10" s="1">
        <f t="shared" si="4"/>
        <v>0.73086379864279061</v>
      </c>
      <c r="AB10" s="11">
        <v>2</v>
      </c>
      <c r="AC10" s="11">
        <v>3</v>
      </c>
      <c r="AD10">
        <f t="shared" si="5"/>
        <v>0.25225117529555219</v>
      </c>
      <c r="AE10">
        <f t="shared" si="6"/>
        <v>0.12306209008606635</v>
      </c>
      <c r="AF10">
        <f t="shared" si="0"/>
        <v>0.46600589656734631</v>
      </c>
      <c r="AG10">
        <f t="shared" si="0"/>
        <v>0.15868083805103511</v>
      </c>
      <c r="AI10" s="11">
        <v>2</v>
      </c>
      <c r="AJ10" s="11">
        <v>3</v>
      </c>
      <c r="AK10">
        <f>SUMPRODUCT(AD10:AG10,'Coded Choice Data'!C10:F10)</f>
        <v>0.46600589656734631</v>
      </c>
      <c r="AL10">
        <f t="shared" si="7"/>
        <v>-0.7635569913585506</v>
      </c>
    </row>
    <row r="11" spans="1:39" x14ac:dyDescent="0.3">
      <c r="N11" s="11">
        <v>2</v>
      </c>
      <c r="O11" s="11">
        <v>4</v>
      </c>
      <c r="P11">
        <f>SUMPRODUCT($A$2:$L$2,'Survey Encoding'!C12:N12)</f>
        <v>0.95180473721565084</v>
      </c>
      <c r="Q11">
        <f>SUMPRODUCT($A$2:$L$2,'Survey Encoding'!O12:Z12)</f>
        <v>1.0311076931258887</v>
      </c>
      <c r="R11">
        <f>SUMPRODUCT($A$2:$L$2,'Survey Encoding'!AA12:AL12)</f>
        <v>1.1267499129920266</v>
      </c>
      <c r="S11">
        <f>SUMPRODUCT($A$2:$L$2,'Survey Encoding'!AM12:AX12)</f>
        <v>-0.31352815855853916</v>
      </c>
      <c r="U11" s="11">
        <v>2</v>
      </c>
      <c r="V11" s="11">
        <v>4</v>
      </c>
      <c r="W11" s="1">
        <f t="shared" si="1"/>
        <v>2.5903803992282071</v>
      </c>
      <c r="X11" s="1">
        <f t="shared" si="2"/>
        <v>2.8041702751355775</v>
      </c>
      <c r="Y11" s="1">
        <f t="shared" si="3"/>
        <v>3.0856116792654009</v>
      </c>
      <c r="Z11" s="1">
        <f t="shared" si="4"/>
        <v>0.73086379864279061</v>
      </c>
      <c r="AB11" s="11">
        <v>2</v>
      </c>
      <c r="AC11" s="11">
        <v>4</v>
      </c>
      <c r="AD11">
        <f t="shared" si="5"/>
        <v>0.28122603892393339</v>
      </c>
      <c r="AE11">
        <f t="shared" si="6"/>
        <v>0.30443625159438997</v>
      </c>
      <c r="AF11">
        <f t="shared" si="0"/>
        <v>0.33499108875120381</v>
      </c>
      <c r="AG11">
        <f t="shared" si="0"/>
        <v>7.9346620730472786E-2</v>
      </c>
      <c r="AI11" s="11">
        <v>2</v>
      </c>
      <c r="AJ11" s="11">
        <v>4</v>
      </c>
      <c r="AK11">
        <f>SUMPRODUCT(AD11:AG11,'Coded Choice Data'!C11:F11)</f>
        <v>7.9346620730472786E-2</v>
      </c>
      <c r="AL11">
        <f t="shared" si="7"/>
        <v>-2.5339294198041178</v>
      </c>
    </row>
    <row r="12" spans="1:39" x14ac:dyDescent="0.3">
      <c r="N12" s="11">
        <v>2</v>
      </c>
      <c r="O12" s="11">
        <v>5</v>
      </c>
      <c r="P12">
        <f>SUMPRODUCT($A$2:$L$2,'Survey Encoding'!C13:N13)</f>
        <v>1.3885885502977624</v>
      </c>
      <c r="Q12">
        <f>SUMPRODUCT($A$2:$L$2,'Survey Encoding'!O13:Z13)</f>
        <v>1.4106531441928372</v>
      </c>
      <c r="R12">
        <f>SUMPRODUCT($A$2:$L$2,'Survey Encoding'!AA13:AL13)</f>
        <v>1.1267499129920266</v>
      </c>
      <c r="S12">
        <f>SUMPRODUCT($A$2:$L$2,'Survey Encoding'!AM13:AX13)</f>
        <v>-0.31352815855853916</v>
      </c>
      <c r="U12" s="11">
        <v>2</v>
      </c>
      <c r="V12" s="11">
        <v>5</v>
      </c>
      <c r="W12" s="1">
        <f t="shared" si="1"/>
        <v>4.0091872913740838</v>
      </c>
      <c r="X12" s="1">
        <f t="shared" si="2"/>
        <v>4.0986315274095384</v>
      </c>
      <c r="Y12" s="1">
        <f t="shared" si="3"/>
        <v>3.0856116792654009</v>
      </c>
      <c r="Z12" s="1">
        <f t="shared" si="4"/>
        <v>0.73086379864279061</v>
      </c>
      <c r="AB12" s="11">
        <v>2</v>
      </c>
      <c r="AC12" s="11">
        <v>5</v>
      </c>
      <c r="AD12">
        <f t="shared" si="5"/>
        <v>0.33622008914073537</v>
      </c>
      <c r="AE12">
        <f t="shared" si="6"/>
        <v>0.34372109790569594</v>
      </c>
      <c r="AF12">
        <f t="shared" si="0"/>
        <v>0.25876681692781178</v>
      </c>
      <c r="AG12">
        <f t="shared" si="0"/>
        <v>6.1291996025756926E-2</v>
      </c>
      <c r="AI12" s="11">
        <v>2</v>
      </c>
      <c r="AJ12" s="11">
        <v>5</v>
      </c>
      <c r="AK12">
        <f>SUMPRODUCT(AD12:AG12,'Coded Choice Data'!C12:F12)</f>
        <v>0.33622008914073537</v>
      </c>
      <c r="AL12">
        <f t="shared" si="7"/>
        <v>-1.0899893062510464</v>
      </c>
    </row>
    <row r="13" spans="1:39" x14ac:dyDescent="0.3">
      <c r="N13" s="11">
        <v>2</v>
      </c>
      <c r="O13" s="11">
        <v>6</v>
      </c>
      <c r="P13">
        <f>SUMPRODUCT($A$2:$L$2,'Survey Encoding'!C14:N14)</f>
        <v>-1.1407000318204914</v>
      </c>
      <c r="Q13">
        <f>SUMPRODUCT($A$2:$L$2,'Survey Encoding'!O14:Z14)</f>
        <v>0.66877574618081503</v>
      </c>
      <c r="R13">
        <f>SUMPRODUCT($A$2:$L$2,'Survey Encoding'!AA14:AL14)</f>
        <v>0.15000228289066947</v>
      </c>
      <c r="S13">
        <f>SUMPRODUCT($A$2:$L$2,'Survey Encoding'!AM14:AX14)</f>
        <v>-0.31352815855853916</v>
      </c>
      <c r="U13" s="11">
        <v>2</v>
      </c>
      <c r="V13" s="11">
        <v>6</v>
      </c>
      <c r="W13" s="1">
        <f t="shared" si="1"/>
        <v>0.31959521666873603</v>
      </c>
      <c r="X13" s="1">
        <f t="shared" si="2"/>
        <v>1.9518463020380199</v>
      </c>
      <c r="Y13" s="1">
        <f t="shared" si="3"/>
        <v>1.1618368950718627</v>
      </c>
      <c r="Z13" s="1">
        <f t="shared" si="4"/>
        <v>0.73086379864279061</v>
      </c>
      <c r="AB13" s="11">
        <v>2</v>
      </c>
      <c r="AC13" s="11">
        <v>6</v>
      </c>
      <c r="AD13">
        <f t="shared" si="5"/>
        <v>7.6749352055124564E-2</v>
      </c>
      <c r="AE13">
        <f t="shared" si="6"/>
        <v>0.46872709971714432</v>
      </c>
      <c r="AF13">
        <f t="shared" si="0"/>
        <v>0.27900989827056494</v>
      </c>
      <c r="AG13">
        <f t="shared" si="0"/>
        <v>0.17551364995716615</v>
      </c>
      <c r="AI13" s="11">
        <v>2</v>
      </c>
      <c r="AJ13" s="11">
        <v>6</v>
      </c>
      <c r="AK13">
        <f>SUMPRODUCT(AD13:AG13,'Coded Choice Data'!C13:F13)</f>
        <v>0.27900989827056494</v>
      </c>
      <c r="AL13">
        <f t="shared" si="7"/>
        <v>-1.2765080201178134</v>
      </c>
    </row>
    <row r="14" spans="1:39" x14ac:dyDescent="0.3">
      <c r="N14" s="11">
        <v>3</v>
      </c>
      <c r="O14" s="11">
        <v>1</v>
      </c>
      <c r="P14">
        <f>SUMPRODUCT($A$2:$L$2,'Survey Encoding'!C15:N15)</f>
        <v>-0.5677340101284214</v>
      </c>
      <c r="Q14">
        <f>SUMPRODUCT($A$2:$L$2,'Survey Encoding'!O15:Z15)</f>
        <v>-0.45781983272127458</v>
      </c>
      <c r="R14">
        <f>SUMPRODUCT($A$2:$L$2,'Survey Encoding'!AA15:AL15)</f>
        <v>-1.1407000318204914</v>
      </c>
      <c r="S14">
        <f>SUMPRODUCT($A$2:$L$2,'Survey Encoding'!AM15:AX15)</f>
        <v>-0.31352815855853916</v>
      </c>
      <c r="U14" s="11">
        <v>3</v>
      </c>
      <c r="V14" s="11">
        <v>1</v>
      </c>
      <c r="W14" s="1">
        <f t="shared" si="1"/>
        <v>0.56680836661762923</v>
      </c>
      <c r="X14" s="1">
        <f t="shared" si="2"/>
        <v>0.63266145083175696</v>
      </c>
      <c r="Y14" s="1">
        <f t="shared" si="3"/>
        <v>0.31959521666873603</v>
      </c>
      <c r="Z14" s="1">
        <f t="shared" si="4"/>
        <v>0.73086379864279061</v>
      </c>
      <c r="AB14" s="11">
        <v>3</v>
      </c>
      <c r="AC14" s="11">
        <v>1</v>
      </c>
      <c r="AD14">
        <f t="shared" si="5"/>
        <v>0.25192279789671945</v>
      </c>
      <c r="AE14">
        <f t="shared" si="6"/>
        <v>0.28119176109913269</v>
      </c>
      <c r="AF14">
        <f t="shared" si="0"/>
        <v>0.14204681144361231</v>
      </c>
      <c r="AG14">
        <f t="shared" si="0"/>
        <v>0.32483862956053577</v>
      </c>
      <c r="AI14" s="11">
        <v>3</v>
      </c>
      <c r="AJ14" s="11">
        <v>1</v>
      </c>
      <c r="AK14">
        <f>SUMPRODUCT(AD14:AG14,'Coded Choice Data'!C14:F14)</f>
        <v>0.14204681144361231</v>
      </c>
      <c r="AL14">
        <f t="shared" si="7"/>
        <v>-1.9515986176525457</v>
      </c>
    </row>
    <row r="15" spans="1:39" x14ac:dyDescent="0.3">
      <c r="N15" s="11">
        <v>3</v>
      </c>
      <c r="O15" s="11">
        <v>2</v>
      </c>
      <c r="P15">
        <f>SUMPRODUCT($A$2:$L$2,'Survey Encoding'!C16:N16)</f>
        <v>1.0311076931258887</v>
      </c>
      <c r="Q15">
        <f>SUMPRODUCT($A$2:$L$2,'Survey Encoding'!O16:Z16)</f>
        <v>1.3885885502977624</v>
      </c>
      <c r="R15">
        <f>SUMPRODUCT($A$2:$L$2,'Survey Encoding'!AA16:AL16)</f>
        <v>0.7637752520424238</v>
      </c>
      <c r="S15">
        <f>SUMPRODUCT($A$2:$L$2,'Survey Encoding'!AM16:AX16)</f>
        <v>-0.31352815855853916</v>
      </c>
      <c r="U15" s="11">
        <v>3</v>
      </c>
      <c r="V15" s="11">
        <v>2</v>
      </c>
      <c r="W15" s="1">
        <f t="shared" si="1"/>
        <v>2.8041702751355775</v>
      </c>
      <c r="X15" s="1">
        <f t="shared" si="2"/>
        <v>4.0091872913740838</v>
      </c>
      <c r="Y15" s="1">
        <f t="shared" si="3"/>
        <v>2.1463640092801262</v>
      </c>
      <c r="Z15" s="1">
        <f t="shared" si="4"/>
        <v>0.73086379864279061</v>
      </c>
      <c r="AB15" s="11">
        <v>3</v>
      </c>
      <c r="AC15" s="11">
        <v>2</v>
      </c>
      <c r="AD15">
        <f t="shared" si="5"/>
        <v>0.28937057636724789</v>
      </c>
      <c r="AE15">
        <f t="shared" si="6"/>
        <v>0.41371982563115672</v>
      </c>
      <c r="AF15">
        <f t="shared" si="0"/>
        <v>0.22148961351117596</v>
      </c>
      <c r="AG15">
        <f t="shared" si="0"/>
        <v>7.5419984490419451E-2</v>
      </c>
      <c r="AI15" s="11">
        <v>3</v>
      </c>
      <c r="AJ15" s="11">
        <v>2</v>
      </c>
      <c r="AK15">
        <f>SUMPRODUCT(AD15:AG15,'Coded Choice Data'!C15:F15)</f>
        <v>0.28937057636724789</v>
      </c>
      <c r="AL15">
        <f t="shared" si="7"/>
        <v>-1.2400471411103269</v>
      </c>
    </row>
    <row r="16" spans="1:39" x14ac:dyDescent="0.3">
      <c r="N16" s="11">
        <v>3</v>
      </c>
      <c r="O16" s="11">
        <v>3</v>
      </c>
      <c r="P16">
        <f>SUMPRODUCT($A$2:$L$2,'Survey Encoding'!C17:N17)</f>
        <v>0.15000228289066947</v>
      </c>
      <c r="Q16">
        <f>SUMPRODUCT($A$2:$L$2,'Survey Encoding'!O17:Z17)</f>
        <v>-0.5677340101284214</v>
      </c>
      <c r="R16">
        <f>SUMPRODUCT($A$2:$L$2,'Survey Encoding'!AA17:AL17)</f>
        <v>0.7637752520424238</v>
      </c>
      <c r="S16">
        <f>SUMPRODUCT($A$2:$L$2,'Survey Encoding'!AM17:AX17)</f>
        <v>-0.31352815855853916</v>
      </c>
      <c r="U16" s="11">
        <v>3</v>
      </c>
      <c r="V16" s="11">
        <v>3</v>
      </c>
      <c r="W16" s="1">
        <f t="shared" si="1"/>
        <v>1.1618368950718627</v>
      </c>
      <c r="X16" s="1">
        <f t="shared" si="2"/>
        <v>0.56680836661762923</v>
      </c>
      <c r="Y16" s="1">
        <f t="shared" si="3"/>
        <v>2.1463640092801262</v>
      </c>
      <c r="Z16" s="1">
        <f t="shared" si="4"/>
        <v>0.73086379864279061</v>
      </c>
      <c r="AB16" s="11">
        <v>3</v>
      </c>
      <c r="AC16" s="11">
        <v>3</v>
      </c>
      <c r="AD16">
        <f t="shared" si="5"/>
        <v>0.25225117529555219</v>
      </c>
      <c r="AE16">
        <f t="shared" si="6"/>
        <v>0.12306209008606635</v>
      </c>
      <c r="AF16">
        <f t="shared" si="0"/>
        <v>0.46600589656734631</v>
      </c>
      <c r="AG16">
        <f t="shared" si="0"/>
        <v>0.15868083805103511</v>
      </c>
      <c r="AI16" s="11">
        <v>3</v>
      </c>
      <c r="AJ16" s="11">
        <v>3</v>
      </c>
      <c r="AK16">
        <f>SUMPRODUCT(AD16:AG16,'Coded Choice Data'!C16:F16)</f>
        <v>0.46600589656734631</v>
      </c>
      <c r="AL16">
        <f t="shared" si="7"/>
        <v>-0.7635569913585506</v>
      </c>
    </row>
    <row r="17" spans="14:38" x14ac:dyDescent="0.3">
      <c r="N17" s="11">
        <v>3</v>
      </c>
      <c r="O17" s="11">
        <v>4</v>
      </c>
      <c r="P17">
        <f>SUMPRODUCT($A$2:$L$2,'Survey Encoding'!C18:N18)</f>
        <v>0.95180473721565084</v>
      </c>
      <c r="Q17">
        <f>SUMPRODUCT($A$2:$L$2,'Survey Encoding'!O18:Z18)</f>
        <v>1.0311076931258887</v>
      </c>
      <c r="R17">
        <f>SUMPRODUCT($A$2:$L$2,'Survey Encoding'!AA18:AL18)</f>
        <v>1.1267499129920266</v>
      </c>
      <c r="S17">
        <f>SUMPRODUCT($A$2:$L$2,'Survey Encoding'!AM18:AX18)</f>
        <v>-0.31352815855853916</v>
      </c>
      <c r="U17" s="11">
        <v>3</v>
      </c>
      <c r="V17" s="11">
        <v>4</v>
      </c>
      <c r="W17" s="1">
        <f t="shared" si="1"/>
        <v>2.5903803992282071</v>
      </c>
      <c r="X17" s="1">
        <f t="shared" si="2"/>
        <v>2.8041702751355775</v>
      </c>
      <c r="Y17" s="1">
        <f t="shared" si="3"/>
        <v>3.0856116792654009</v>
      </c>
      <c r="Z17" s="1">
        <f t="shared" si="4"/>
        <v>0.73086379864279061</v>
      </c>
      <c r="AB17" s="11">
        <v>3</v>
      </c>
      <c r="AC17" s="11">
        <v>4</v>
      </c>
      <c r="AD17">
        <f t="shared" si="5"/>
        <v>0.28122603892393339</v>
      </c>
      <c r="AE17">
        <f t="shared" si="6"/>
        <v>0.30443625159438997</v>
      </c>
      <c r="AF17">
        <f t="shared" si="0"/>
        <v>0.33499108875120381</v>
      </c>
      <c r="AG17">
        <f t="shared" si="0"/>
        <v>7.9346620730472786E-2</v>
      </c>
      <c r="AI17" s="11">
        <v>3</v>
      </c>
      <c r="AJ17" s="11">
        <v>4</v>
      </c>
      <c r="AK17">
        <f>SUMPRODUCT(AD17:AG17,'Coded Choice Data'!C17:F17)</f>
        <v>0.30443625159438997</v>
      </c>
      <c r="AL17">
        <f t="shared" si="7"/>
        <v>-1.1892935681196899</v>
      </c>
    </row>
    <row r="18" spans="14:38" x14ac:dyDescent="0.3">
      <c r="N18" s="11">
        <v>3</v>
      </c>
      <c r="O18" s="11">
        <v>5</v>
      </c>
      <c r="P18">
        <f>SUMPRODUCT($A$2:$L$2,'Survey Encoding'!C19:N19)</f>
        <v>1.3885885502977624</v>
      </c>
      <c r="Q18">
        <f>SUMPRODUCT($A$2:$L$2,'Survey Encoding'!O19:Z19)</f>
        <v>1.4106531441928372</v>
      </c>
      <c r="R18">
        <f>SUMPRODUCT($A$2:$L$2,'Survey Encoding'!AA19:AL19)</f>
        <v>1.1267499129920266</v>
      </c>
      <c r="S18">
        <f>SUMPRODUCT($A$2:$L$2,'Survey Encoding'!AM19:AX19)</f>
        <v>-0.31352815855853916</v>
      </c>
      <c r="U18" s="11">
        <v>3</v>
      </c>
      <c r="V18" s="11">
        <v>5</v>
      </c>
      <c r="W18" s="1">
        <f t="shared" si="1"/>
        <v>4.0091872913740838</v>
      </c>
      <c r="X18" s="1">
        <f t="shared" si="2"/>
        <v>4.0986315274095384</v>
      </c>
      <c r="Y18" s="1">
        <f t="shared" si="3"/>
        <v>3.0856116792654009</v>
      </c>
      <c r="Z18" s="1">
        <f t="shared" si="4"/>
        <v>0.73086379864279061</v>
      </c>
      <c r="AB18" s="11">
        <v>3</v>
      </c>
      <c r="AC18" s="11">
        <v>5</v>
      </c>
      <c r="AD18">
        <f t="shared" si="5"/>
        <v>0.33622008914073537</v>
      </c>
      <c r="AE18">
        <f t="shared" si="6"/>
        <v>0.34372109790569594</v>
      </c>
      <c r="AF18">
        <f t="shared" ref="AF18:AG81" si="8">Y18/SUM($W18:$Z18)</f>
        <v>0.25876681692781178</v>
      </c>
      <c r="AG18">
        <f t="shared" si="8"/>
        <v>6.1291996025756926E-2</v>
      </c>
      <c r="AI18" s="11">
        <v>3</v>
      </c>
      <c r="AJ18" s="11">
        <v>5</v>
      </c>
      <c r="AK18">
        <f>SUMPRODUCT(AD18:AG18,'Coded Choice Data'!C18:F18)</f>
        <v>0.34372109790569594</v>
      </c>
      <c r="AL18">
        <f t="shared" si="7"/>
        <v>-1.0679247123559716</v>
      </c>
    </row>
    <row r="19" spans="14:38" x14ac:dyDescent="0.3">
      <c r="N19" s="11">
        <v>3</v>
      </c>
      <c r="O19" s="11">
        <v>6</v>
      </c>
      <c r="P19">
        <f>SUMPRODUCT($A$2:$L$2,'Survey Encoding'!C20:N20)</f>
        <v>-1.1407000318204914</v>
      </c>
      <c r="Q19">
        <f>SUMPRODUCT($A$2:$L$2,'Survey Encoding'!O20:Z20)</f>
        <v>0.66877574618081503</v>
      </c>
      <c r="R19">
        <f>SUMPRODUCT($A$2:$L$2,'Survey Encoding'!AA20:AL20)</f>
        <v>0.15000228289066947</v>
      </c>
      <c r="S19">
        <f>SUMPRODUCT($A$2:$L$2,'Survey Encoding'!AM20:AX20)</f>
        <v>-0.31352815855853916</v>
      </c>
      <c r="U19" s="11">
        <v>3</v>
      </c>
      <c r="V19" s="11">
        <v>6</v>
      </c>
      <c r="W19" s="1">
        <f t="shared" si="1"/>
        <v>0.31959521666873603</v>
      </c>
      <c r="X19" s="1">
        <f t="shared" si="2"/>
        <v>1.9518463020380199</v>
      </c>
      <c r="Y19" s="1">
        <f t="shared" si="3"/>
        <v>1.1618368950718627</v>
      </c>
      <c r="Z19" s="1">
        <f t="shared" si="4"/>
        <v>0.73086379864279061</v>
      </c>
      <c r="AB19" s="11">
        <v>3</v>
      </c>
      <c r="AC19" s="11">
        <v>6</v>
      </c>
      <c r="AD19">
        <f t="shared" si="5"/>
        <v>7.6749352055124564E-2</v>
      </c>
      <c r="AE19">
        <f t="shared" si="6"/>
        <v>0.46872709971714432</v>
      </c>
      <c r="AF19">
        <f t="shared" si="8"/>
        <v>0.27900989827056494</v>
      </c>
      <c r="AG19">
        <f t="shared" si="8"/>
        <v>0.17551364995716615</v>
      </c>
      <c r="AI19" s="11">
        <v>3</v>
      </c>
      <c r="AJ19" s="11">
        <v>6</v>
      </c>
      <c r="AK19">
        <f>SUMPRODUCT(AD19:AG19,'Coded Choice Data'!C19:F19)</f>
        <v>0.46872709971714432</v>
      </c>
      <c r="AL19">
        <f t="shared" si="7"/>
        <v>-0.75773455682766766</v>
      </c>
    </row>
    <row r="20" spans="14:38" x14ac:dyDescent="0.3">
      <c r="N20" s="11">
        <v>4</v>
      </c>
      <c r="O20" s="11">
        <v>1</v>
      </c>
      <c r="P20">
        <f>SUMPRODUCT($A$2:$L$2,'Survey Encoding'!C21:N21)</f>
        <v>-0.5677340101284214</v>
      </c>
      <c r="Q20">
        <f>SUMPRODUCT($A$2:$L$2,'Survey Encoding'!O21:Z21)</f>
        <v>-0.45781983272127458</v>
      </c>
      <c r="R20">
        <f>SUMPRODUCT($A$2:$L$2,'Survey Encoding'!AA21:AL21)</f>
        <v>-1.1407000318204914</v>
      </c>
      <c r="S20">
        <f>SUMPRODUCT($A$2:$L$2,'Survey Encoding'!AM21:AX21)</f>
        <v>-0.31352815855853916</v>
      </c>
      <c r="U20" s="11">
        <v>4</v>
      </c>
      <c r="V20" s="11">
        <v>1</v>
      </c>
      <c r="W20" s="1">
        <f t="shared" si="1"/>
        <v>0.56680836661762923</v>
      </c>
      <c r="X20" s="1">
        <f t="shared" si="2"/>
        <v>0.63266145083175696</v>
      </c>
      <c r="Y20" s="1">
        <f t="shared" si="3"/>
        <v>0.31959521666873603</v>
      </c>
      <c r="Z20" s="1">
        <f t="shared" si="4"/>
        <v>0.73086379864279061</v>
      </c>
      <c r="AB20" s="11">
        <v>4</v>
      </c>
      <c r="AC20" s="11">
        <v>1</v>
      </c>
      <c r="AD20">
        <f t="shared" si="5"/>
        <v>0.25192279789671945</v>
      </c>
      <c r="AE20">
        <f t="shared" si="6"/>
        <v>0.28119176109913269</v>
      </c>
      <c r="AF20">
        <f t="shared" si="8"/>
        <v>0.14204681144361231</v>
      </c>
      <c r="AG20">
        <f t="shared" si="8"/>
        <v>0.32483862956053577</v>
      </c>
      <c r="AI20" s="11">
        <v>4</v>
      </c>
      <c r="AJ20" s="11">
        <v>1</v>
      </c>
      <c r="AK20">
        <f>SUMPRODUCT(AD20:AG20,'Coded Choice Data'!C20:F20)</f>
        <v>0.28119176109913269</v>
      </c>
      <c r="AL20">
        <f t="shared" si="7"/>
        <v>-1.2687184185533291</v>
      </c>
    </row>
    <row r="21" spans="14:38" x14ac:dyDescent="0.3">
      <c r="N21" s="11">
        <v>4</v>
      </c>
      <c r="O21" s="11">
        <v>2</v>
      </c>
      <c r="P21">
        <f>SUMPRODUCT($A$2:$L$2,'Survey Encoding'!C22:N22)</f>
        <v>1.0311076931258887</v>
      </c>
      <c r="Q21">
        <f>SUMPRODUCT($A$2:$L$2,'Survey Encoding'!O22:Z22)</f>
        <v>1.3885885502977624</v>
      </c>
      <c r="R21">
        <f>SUMPRODUCT($A$2:$L$2,'Survey Encoding'!AA22:AL22)</f>
        <v>0.7637752520424238</v>
      </c>
      <c r="S21">
        <f>SUMPRODUCT($A$2:$L$2,'Survey Encoding'!AM22:AX22)</f>
        <v>-0.31352815855853916</v>
      </c>
      <c r="U21" s="11">
        <v>4</v>
      </c>
      <c r="V21" s="11">
        <v>2</v>
      </c>
      <c r="W21" s="1">
        <f t="shared" si="1"/>
        <v>2.8041702751355775</v>
      </c>
      <c r="X21" s="1">
        <f t="shared" si="2"/>
        <v>4.0091872913740838</v>
      </c>
      <c r="Y21" s="1">
        <f t="shared" si="3"/>
        <v>2.1463640092801262</v>
      </c>
      <c r="Z21" s="1">
        <f t="shared" si="4"/>
        <v>0.73086379864279061</v>
      </c>
      <c r="AB21" s="11">
        <v>4</v>
      </c>
      <c r="AC21" s="11">
        <v>2</v>
      </c>
      <c r="AD21">
        <f t="shared" si="5"/>
        <v>0.28937057636724789</v>
      </c>
      <c r="AE21">
        <f t="shared" si="6"/>
        <v>0.41371982563115672</v>
      </c>
      <c r="AF21">
        <f t="shared" si="8"/>
        <v>0.22148961351117596</v>
      </c>
      <c r="AG21">
        <f t="shared" si="8"/>
        <v>7.5419984490419451E-2</v>
      </c>
      <c r="AI21" s="11">
        <v>4</v>
      </c>
      <c r="AJ21" s="11">
        <v>2</v>
      </c>
      <c r="AK21">
        <f>SUMPRODUCT(AD21:AG21,'Coded Choice Data'!C21:F21)</f>
        <v>0.22148961351117596</v>
      </c>
      <c r="AL21">
        <f t="shared" si="7"/>
        <v>-1.5073795821937916</v>
      </c>
    </row>
    <row r="22" spans="14:38" x14ac:dyDescent="0.3">
      <c r="N22" s="11">
        <v>4</v>
      </c>
      <c r="O22" s="11">
        <v>3</v>
      </c>
      <c r="P22">
        <f>SUMPRODUCT($A$2:$L$2,'Survey Encoding'!C23:N23)</f>
        <v>0.15000228289066947</v>
      </c>
      <c r="Q22">
        <f>SUMPRODUCT($A$2:$L$2,'Survey Encoding'!O23:Z23)</f>
        <v>-0.5677340101284214</v>
      </c>
      <c r="R22">
        <f>SUMPRODUCT($A$2:$L$2,'Survey Encoding'!AA23:AL23)</f>
        <v>0.7637752520424238</v>
      </c>
      <c r="S22">
        <f>SUMPRODUCT($A$2:$L$2,'Survey Encoding'!AM23:AX23)</f>
        <v>-0.31352815855853916</v>
      </c>
      <c r="U22" s="11">
        <v>4</v>
      </c>
      <c r="V22" s="11">
        <v>3</v>
      </c>
      <c r="W22" s="1">
        <f t="shared" si="1"/>
        <v>1.1618368950718627</v>
      </c>
      <c r="X22" s="1">
        <f t="shared" si="2"/>
        <v>0.56680836661762923</v>
      </c>
      <c r="Y22" s="1">
        <f t="shared" si="3"/>
        <v>2.1463640092801262</v>
      </c>
      <c r="Z22" s="1">
        <f t="shared" si="4"/>
        <v>0.73086379864279061</v>
      </c>
      <c r="AB22" s="11">
        <v>4</v>
      </c>
      <c r="AC22" s="11">
        <v>3</v>
      </c>
      <c r="AD22">
        <f t="shared" si="5"/>
        <v>0.25225117529555219</v>
      </c>
      <c r="AE22">
        <f t="shared" si="6"/>
        <v>0.12306209008606635</v>
      </c>
      <c r="AF22">
        <f t="shared" si="8"/>
        <v>0.46600589656734631</v>
      </c>
      <c r="AG22">
        <f t="shared" si="8"/>
        <v>0.15868083805103511</v>
      </c>
      <c r="AI22" s="11">
        <v>4</v>
      </c>
      <c r="AJ22" s="11">
        <v>3</v>
      </c>
      <c r="AK22">
        <f>SUMPRODUCT(AD22:AG22,'Coded Choice Data'!C22:F22)</f>
        <v>0.12306209008606635</v>
      </c>
      <c r="AL22">
        <f t="shared" si="7"/>
        <v>-2.0950662535293958</v>
      </c>
    </row>
    <row r="23" spans="14:38" x14ac:dyDescent="0.3">
      <c r="N23" s="11">
        <v>4</v>
      </c>
      <c r="O23" s="11">
        <v>4</v>
      </c>
      <c r="P23">
        <f>SUMPRODUCT($A$2:$L$2,'Survey Encoding'!C24:N24)</f>
        <v>0.95180473721565084</v>
      </c>
      <c r="Q23">
        <f>SUMPRODUCT($A$2:$L$2,'Survey Encoding'!O24:Z24)</f>
        <v>1.0311076931258887</v>
      </c>
      <c r="R23">
        <f>SUMPRODUCT($A$2:$L$2,'Survey Encoding'!AA24:AL24)</f>
        <v>1.1267499129920266</v>
      </c>
      <c r="S23">
        <f>SUMPRODUCT($A$2:$L$2,'Survey Encoding'!AM24:AX24)</f>
        <v>-0.31352815855853916</v>
      </c>
      <c r="U23" s="11">
        <v>4</v>
      </c>
      <c r="V23" s="11">
        <v>4</v>
      </c>
      <c r="W23" s="1">
        <f t="shared" si="1"/>
        <v>2.5903803992282071</v>
      </c>
      <c r="X23" s="1">
        <f t="shared" si="2"/>
        <v>2.8041702751355775</v>
      </c>
      <c r="Y23" s="1">
        <f t="shared" si="3"/>
        <v>3.0856116792654009</v>
      </c>
      <c r="Z23" s="1">
        <f t="shared" si="4"/>
        <v>0.73086379864279061</v>
      </c>
      <c r="AB23" s="11">
        <v>4</v>
      </c>
      <c r="AC23" s="11">
        <v>4</v>
      </c>
      <c r="AD23">
        <f t="shared" si="5"/>
        <v>0.28122603892393339</v>
      </c>
      <c r="AE23">
        <f t="shared" si="6"/>
        <v>0.30443625159438997</v>
      </c>
      <c r="AF23">
        <f t="shared" si="8"/>
        <v>0.33499108875120381</v>
      </c>
      <c r="AG23">
        <f t="shared" si="8"/>
        <v>7.9346620730472786E-2</v>
      </c>
      <c r="AI23" s="11">
        <v>4</v>
      </c>
      <c r="AJ23" s="11">
        <v>4</v>
      </c>
      <c r="AK23">
        <f>SUMPRODUCT(AD23:AG23,'Coded Choice Data'!C23:F23)</f>
        <v>0.33499108875120381</v>
      </c>
      <c r="AL23">
        <f t="shared" si="7"/>
        <v>-1.0936513482535519</v>
      </c>
    </row>
    <row r="24" spans="14:38" x14ac:dyDescent="0.3">
      <c r="N24" s="11">
        <v>4</v>
      </c>
      <c r="O24" s="11">
        <v>5</v>
      </c>
      <c r="P24">
        <f>SUMPRODUCT($A$2:$L$2,'Survey Encoding'!C25:N25)</f>
        <v>1.3885885502977624</v>
      </c>
      <c r="Q24">
        <f>SUMPRODUCT($A$2:$L$2,'Survey Encoding'!O25:Z25)</f>
        <v>1.4106531441928372</v>
      </c>
      <c r="R24">
        <f>SUMPRODUCT($A$2:$L$2,'Survey Encoding'!AA25:AL25)</f>
        <v>1.1267499129920266</v>
      </c>
      <c r="S24">
        <f>SUMPRODUCT($A$2:$L$2,'Survey Encoding'!AM25:AX25)</f>
        <v>-0.31352815855853916</v>
      </c>
      <c r="U24" s="11">
        <v>4</v>
      </c>
      <c r="V24" s="11">
        <v>5</v>
      </c>
      <c r="W24" s="1">
        <f t="shared" si="1"/>
        <v>4.0091872913740838</v>
      </c>
      <c r="X24" s="1">
        <f t="shared" si="2"/>
        <v>4.0986315274095384</v>
      </c>
      <c r="Y24" s="1">
        <f t="shared" si="3"/>
        <v>3.0856116792654009</v>
      </c>
      <c r="Z24" s="1">
        <f t="shared" si="4"/>
        <v>0.73086379864279061</v>
      </c>
      <c r="AB24" s="11">
        <v>4</v>
      </c>
      <c r="AC24" s="11">
        <v>5</v>
      </c>
      <c r="AD24">
        <f t="shared" si="5"/>
        <v>0.33622008914073537</v>
      </c>
      <c r="AE24">
        <f t="shared" si="6"/>
        <v>0.34372109790569594</v>
      </c>
      <c r="AF24">
        <f t="shared" si="8"/>
        <v>0.25876681692781178</v>
      </c>
      <c r="AG24">
        <f t="shared" si="8"/>
        <v>6.1291996025756926E-2</v>
      </c>
      <c r="AI24" s="11">
        <v>4</v>
      </c>
      <c r="AJ24" s="11">
        <v>5</v>
      </c>
      <c r="AK24">
        <f>SUMPRODUCT(AD24:AG24,'Coded Choice Data'!C24:F24)</f>
        <v>0.25876681692781178</v>
      </c>
      <c r="AL24">
        <f t="shared" si="7"/>
        <v>-1.3518279435567824</v>
      </c>
    </row>
    <row r="25" spans="14:38" x14ac:dyDescent="0.3">
      <c r="N25" s="11">
        <v>4</v>
      </c>
      <c r="O25" s="11">
        <v>6</v>
      </c>
      <c r="P25">
        <f>SUMPRODUCT($A$2:$L$2,'Survey Encoding'!C26:N26)</f>
        <v>-1.1407000318204914</v>
      </c>
      <c r="Q25">
        <f>SUMPRODUCT($A$2:$L$2,'Survey Encoding'!O26:Z26)</f>
        <v>0.66877574618081503</v>
      </c>
      <c r="R25">
        <f>SUMPRODUCT($A$2:$L$2,'Survey Encoding'!AA26:AL26)</f>
        <v>0.15000228289066947</v>
      </c>
      <c r="S25">
        <f>SUMPRODUCT($A$2:$L$2,'Survey Encoding'!AM26:AX26)</f>
        <v>-0.31352815855853916</v>
      </c>
      <c r="U25" s="11">
        <v>4</v>
      </c>
      <c r="V25" s="11">
        <v>6</v>
      </c>
      <c r="W25" s="1">
        <f t="shared" si="1"/>
        <v>0.31959521666873603</v>
      </c>
      <c r="X25" s="1">
        <f t="shared" si="2"/>
        <v>1.9518463020380199</v>
      </c>
      <c r="Y25" s="1">
        <f t="shared" si="3"/>
        <v>1.1618368950718627</v>
      </c>
      <c r="Z25" s="1">
        <f t="shared" si="4"/>
        <v>0.73086379864279061</v>
      </c>
      <c r="AB25" s="11">
        <v>4</v>
      </c>
      <c r="AC25" s="11">
        <v>6</v>
      </c>
      <c r="AD25">
        <f t="shared" si="5"/>
        <v>7.6749352055124564E-2</v>
      </c>
      <c r="AE25">
        <f t="shared" si="6"/>
        <v>0.46872709971714432</v>
      </c>
      <c r="AF25">
        <f t="shared" si="8"/>
        <v>0.27900989827056494</v>
      </c>
      <c r="AG25">
        <f t="shared" si="8"/>
        <v>0.17551364995716615</v>
      </c>
      <c r="AI25" s="11">
        <v>4</v>
      </c>
      <c r="AJ25" s="11">
        <v>6</v>
      </c>
      <c r="AK25">
        <f>SUMPRODUCT(AD25:AG25,'Coded Choice Data'!C25:F25)</f>
        <v>7.6749352055124564E-2</v>
      </c>
      <c r="AL25">
        <f t="shared" si="7"/>
        <v>-2.5672103348289741</v>
      </c>
    </row>
    <row r="26" spans="14:38" x14ac:dyDescent="0.3">
      <c r="N26" s="11">
        <v>5</v>
      </c>
      <c r="O26" s="11">
        <v>1</v>
      </c>
      <c r="P26">
        <f>SUMPRODUCT($A$2:$L$2,'Survey Encoding'!C27:N27)</f>
        <v>-0.5677340101284214</v>
      </c>
      <c r="Q26">
        <f>SUMPRODUCT($A$2:$L$2,'Survey Encoding'!O27:Z27)</f>
        <v>-0.45781983272127458</v>
      </c>
      <c r="R26">
        <f>SUMPRODUCT($A$2:$L$2,'Survey Encoding'!AA27:AL27)</f>
        <v>-1.1407000318204914</v>
      </c>
      <c r="S26">
        <f>SUMPRODUCT($A$2:$L$2,'Survey Encoding'!AM27:AX27)</f>
        <v>-0.31352815855853916</v>
      </c>
      <c r="U26" s="11">
        <v>5</v>
      </c>
      <c r="V26" s="11">
        <v>1</v>
      </c>
      <c r="W26" s="1">
        <f t="shared" si="1"/>
        <v>0.56680836661762923</v>
      </c>
      <c r="X26" s="1">
        <f t="shared" si="2"/>
        <v>0.63266145083175696</v>
      </c>
      <c r="Y26" s="1">
        <f t="shared" si="3"/>
        <v>0.31959521666873603</v>
      </c>
      <c r="Z26" s="1">
        <f t="shared" si="4"/>
        <v>0.73086379864279061</v>
      </c>
      <c r="AB26" s="11">
        <v>5</v>
      </c>
      <c r="AC26" s="11">
        <v>1</v>
      </c>
      <c r="AD26">
        <f t="shared" si="5"/>
        <v>0.25192279789671945</v>
      </c>
      <c r="AE26">
        <f t="shared" si="6"/>
        <v>0.28119176109913269</v>
      </c>
      <c r="AF26">
        <f t="shared" si="8"/>
        <v>0.14204681144361231</v>
      </c>
      <c r="AG26">
        <f t="shared" si="8"/>
        <v>0.32483862956053577</v>
      </c>
      <c r="AI26" s="11">
        <v>5</v>
      </c>
      <c r="AJ26" s="11">
        <v>1</v>
      </c>
      <c r="AK26">
        <f>SUMPRODUCT(AD26:AG26,'Coded Choice Data'!C26:F26)</f>
        <v>0.14204681144361231</v>
      </c>
      <c r="AL26">
        <f t="shared" si="7"/>
        <v>-1.9515986176525457</v>
      </c>
    </row>
    <row r="27" spans="14:38" x14ac:dyDescent="0.3">
      <c r="N27" s="11">
        <v>5</v>
      </c>
      <c r="O27" s="11">
        <v>2</v>
      </c>
      <c r="P27">
        <f>SUMPRODUCT($A$2:$L$2,'Survey Encoding'!C28:N28)</f>
        <v>1.0311076931258887</v>
      </c>
      <c r="Q27">
        <f>SUMPRODUCT($A$2:$L$2,'Survey Encoding'!O28:Z28)</f>
        <v>1.3885885502977624</v>
      </c>
      <c r="R27">
        <f>SUMPRODUCT($A$2:$L$2,'Survey Encoding'!AA28:AL28)</f>
        <v>0.7637752520424238</v>
      </c>
      <c r="S27">
        <f>SUMPRODUCT($A$2:$L$2,'Survey Encoding'!AM28:AX28)</f>
        <v>-0.31352815855853916</v>
      </c>
      <c r="U27" s="11">
        <v>5</v>
      </c>
      <c r="V27" s="11">
        <v>2</v>
      </c>
      <c r="W27" s="1">
        <f t="shared" si="1"/>
        <v>2.8041702751355775</v>
      </c>
      <c r="X27" s="1">
        <f t="shared" si="2"/>
        <v>4.0091872913740838</v>
      </c>
      <c r="Y27" s="1">
        <f t="shared" si="3"/>
        <v>2.1463640092801262</v>
      </c>
      <c r="Z27" s="1">
        <f t="shared" si="4"/>
        <v>0.73086379864279061</v>
      </c>
      <c r="AB27" s="11">
        <v>5</v>
      </c>
      <c r="AC27" s="11">
        <v>2</v>
      </c>
      <c r="AD27">
        <f t="shared" si="5"/>
        <v>0.28937057636724789</v>
      </c>
      <c r="AE27">
        <f t="shared" si="6"/>
        <v>0.41371982563115672</v>
      </c>
      <c r="AF27">
        <f t="shared" si="8"/>
        <v>0.22148961351117596</v>
      </c>
      <c r="AG27">
        <f t="shared" si="8"/>
        <v>7.5419984490419451E-2</v>
      </c>
      <c r="AI27" s="11">
        <v>5</v>
      </c>
      <c r="AJ27" s="11">
        <v>2</v>
      </c>
      <c r="AK27">
        <f>SUMPRODUCT(AD27:AG27,'Coded Choice Data'!C27:F27)</f>
        <v>0.41371982563115672</v>
      </c>
      <c r="AL27">
        <f t="shared" si="7"/>
        <v>-0.88256628393845316</v>
      </c>
    </row>
    <row r="28" spans="14:38" x14ac:dyDescent="0.3">
      <c r="N28" s="11">
        <v>5</v>
      </c>
      <c r="O28" s="11">
        <v>3</v>
      </c>
      <c r="P28">
        <f>SUMPRODUCT($A$2:$L$2,'Survey Encoding'!C29:N29)</f>
        <v>0.15000228289066947</v>
      </c>
      <c r="Q28">
        <f>SUMPRODUCT($A$2:$L$2,'Survey Encoding'!O29:Z29)</f>
        <v>-0.5677340101284214</v>
      </c>
      <c r="R28">
        <f>SUMPRODUCT($A$2:$L$2,'Survey Encoding'!AA29:AL29)</f>
        <v>0.7637752520424238</v>
      </c>
      <c r="S28">
        <f>SUMPRODUCT($A$2:$L$2,'Survey Encoding'!AM29:AX29)</f>
        <v>-0.31352815855853916</v>
      </c>
      <c r="U28" s="11">
        <v>5</v>
      </c>
      <c r="V28" s="11">
        <v>3</v>
      </c>
      <c r="W28" s="1">
        <f t="shared" si="1"/>
        <v>1.1618368950718627</v>
      </c>
      <c r="X28" s="1">
        <f t="shared" si="2"/>
        <v>0.56680836661762923</v>
      </c>
      <c r="Y28" s="1">
        <f t="shared" si="3"/>
        <v>2.1463640092801262</v>
      </c>
      <c r="Z28" s="1">
        <f t="shared" si="4"/>
        <v>0.73086379864279061</v>
      </c>
      <c r="AB28" s="11">
        <v>5</v>
      </c>
      <c r="AC28" s="11">
        <v>3</v>
      </c>
      <c r="AD28">
        <f t="shared" si="5"/>
        <v>0.25225117529555219</v>
      </c>
      <c r="AE28">
        <f t="shared" si="6"/>
        <v>0.12306209008606635</v>
      </c>
      <c r="AF28">
        <f t="shared" si="8"/>
        <v>0.46600589656734631</v>
      </c>
      <c r="AG28">
        <f t="shared" si="8"/>
        <v>0.15868083805103511</v>
      </c>
      <c r="AI28" s="11">
        <v>5</v>
      </c>
      <c r="AJ28" s="11">
        <v>3</v>
      </c>
      <c r="AK28">
        <f>SUMPRODUCT(AD28:AG28,'Coded Choice Data'!C28:F28)</f>
        <v>0.46600589656734631</v>
      </c>
      <c r="AL28">
        <f t="shared" si="7"/>
        <v>-0.7635569913585506</v>
      </c>
    </row>
    <row r="29" spans="14:38" x14ac:dyDescent="0.3">
      <c r="N29" s="11">
        <v>5</v>
      </c>
      <c r="O29" s="11">
        <v>4</v>
      </c>
      <c r="P29">
        <f>SUMPRODUCT($A$2:$L$2,'Survey Encoding'!C30:N30)</f>
        <v>0.95180473721565084</v>
      </c>
      <c r="Q29">
        <f>SUMPRODUCT($A$2:$L$2,'Survey Encoding'!O30:Z30)</f>
        <v>1.0311076931258887</v>
      </c>
      <c r="R29">
        <f>SUMPRODUCT($A$2:$L$2,'Survey Encoding'!AA30:AL30)</f>
        <v>1.1267499129920266</v>
      </c>
      <c r="S29">
        <f>SUMPRODUCT($A$2:$L$2,'Survey Encoding'!AM30:AX30)</f>
        <v>-0.31352815855853916</v>
      </c>
      <c r="U29" s="11">
        <v>5</v>
      </c>
      <c r="V29" s="11">
        <v>4</v>
      </c>
      <c r="W29" s="1">
        <f t="shared" si="1"/>
        <v>2.5903803992282071</v>
      </c>
      <c r="X29" s="1">
        <f t="shared" si="2"/>
        <v>2.8041702751355775</v>
      </c>
      <c r="Y29" s="1">
        <f t="shared" si="3"/>
        <v>3.0856116792654009</v>
      </c>
      <c r="Z29" s="1">
        <f t="shared" si="4"/>
        <v>0.73086379864279061</v>
      </c>
      <c r="AB29" s="11">
        <v>5</v>
      </c>
      <c r="AC29" s="11">
        <v>4</v>
      </c>
      <c r="AD29">
        <f t="shared" si="5"/>
        <v>0.28122603892393339</v>
      </c>
      <c r="AE29">
        <f t="shared" si="6"/>
        <v>0.30443625159438997</v>
      </c>
      <c r="AF29">
        <f t="shared" si="8"/>
        <v>0.33499108875120381</v>
      </c>
      <c r="AG29">
        <f t="shared" si="8"/>
        <v>7.9346620730472786E-2</v>
      </c>
      <c r="AI29" s="11">
        <v>5</v>
      </c>
      <c r="AJ29" s="11">
        <v>4</v>
      </c>
      <c r="AK29">
        <f>SUMPRODUCT(AD29:AG29,'Coded Choice Data'!C29:F29)</f>
        <v>0.33499108875120381</v>
      </c>
      <c r="AL29">
        <f t="shared" si="7"/>
        <v>-1.0936513482535519</v>
      </c>
    </row>
    <row r="30" spans="14:38" x14ac:dyDescent="0.3">
      <c r="N30" s="11">
        <v>5</v>
      </c>
      <c r="O30" s="11">
        <v>5</v>
      </c>
      <c r="P30">
        <f>SUMPRODUCT($A$2:$L$2,'Survey Encoding'!C31:N31)</f>
        <v>1.3885885502977624</v>
      </c>
      <c r="Q30">
        <f>SUMPRODUCT($A$2:$L$2,'Survey Encoding'!O31:Z31)</f>
        <v>1.4106531441928372</v>
      </c>
      <c r="R30">
        <f>SUMPRODUCT($A$2:$L$2,'Survey Encoding'!AA31:AL31)</f>
        <v>1.1267499129920266</v>
      </c>
      <c r="S30">
        <f>SUMPRODUCT($A$2:$L$2,'Survey Encoding'!AM31:AX31)</f>
        <v>-0.31352815855853916</v>
      </c>
      <c r="U30" s="11">
        <v>5</v>
      </c>
      <c r="V30" s="11">
        <v>5</v>
      </c>
      <c r="W30" s="1">
        <f t="shared" si="1"/>
        <v>4.0091872913740838</v>
      </c>
      <c r="X30" s="1">
        <f t="shared" si="2"/>
        <v>4.0986315274095384</v>
      </c>
      <c r="Y30" s="1">
        <f t="shared" si="3"/>
        <v>3.0856116792654009</v>
      </c>
      <c r="Z30" s="1">
        <f t="shared" si="4"/>
        <v>0.73086379864279061</v>
      </c>
      <c r="AB30" s="11">
        <v>5</v>
      </c>
      <c r="AC30" s="11">
        <v>5</v>
      </c>
      <c r="AD30">
        <f t="shared" si="5"/>
        <v>0.33622008914073537</v>
      </c>
      <c r="AE30">
        <f t="shared" si="6"/>
        <v>0.34372109790569594</v>
      </c>
      <c r="AF30">
        <f t="shared" si="8"/>
        <v>0.25876681692781178</v>
      </c>
      <c r="AG30">
        <f t="shared" si="8"/>
        <v>6.1291996025756926E-2</v>
      </c>
      <c r="AI30" s="11">
        <v>5</v>
      </c>
      <c r="AJ30" s="11">
        <v>5</v>
      </c>
      <c r="AK30">
        <f>SUMPRODUCT(AD30:AG30,'Coded Choice Data'!C30:F30)</f>
        <v>6.1291996025756926E-2</v>
      </c>
      <c r="AL30">
        <f t="shared" si="7"/>
        <v>-2.7921060151073482</v>
      </c>
    </row>
    <row r="31" spans="14:38" x14ac:dyDescent="0.3">
      <c r="N31" s="11">
        <v>5</v>
      </c>
      <c r="O31" s="11">
        <v>6</v>
      </c>
      <c r="P31">
        <f>SUMPRODUCT($A$2:$L$2,'Survey Encoding'!C32:N32)</f>
        <v>-1.1407000318204914</v>
      </c>
      <c r="Q31">
        <f>SUMPRODUCT($A$2:$L$2,'Survey Encoding'!O32:Z32)</f>
        <v>0.66877574618081503</v>
      </c>
      <c r="R31">
        <f>SUMPRODUCT($A$2:$L$2,'Survey Encoding'!AA32:AL32)</f>
        <v>0.15000228289066947</v>
      </c>
      <c r="S31">
        <f>SUMPRODUCT($A$2:$L$2,'Survey Encoding'!AM32:AX32)</f>
        <v>-0.31352815855853916</v>
      </c>
      <c r="U31" s="11">
        <v>5</v>
      </c>
      <c r="V31" s="11">
        <v>6</v>
      </c>
      <c r="W31" s="1">
        <f t="shared" si="1"/>
        <v>0.31959521666873603</v>
      </c>
      <c r="X31" s="1">
        <f t="shared" si="2"/>
        <v>1.9518463020380199</v>
      </c>
      <c r="Y31" s="1">
        <f t="shared" si="3"/>
        <v>1.1618368950718627</v>
      </c>
      <c r="Z31" s="1">
        <f t="shared" si="4"/>
        <v>0.73086379864279061</v>
      </c>
      <c r="AB31" s="11">
        <v>5</v>
      </c>
      <c r="AC31" s="11">
        <v>6</v>
      </c>
      <c r="AD31">
        <f t="shared" si="5"/>
        <v>7.6749352055124564E-2</v>
      </c>
      <c r="AE31">
        <f t="shared" si="6"/>
        <v>0.46872709971714432</v>
      </c>
      <c r="AF31">
        <f t="shared" si="8"/>
        <v>0.27900989827056494</v>
      </c>
      <c r="AG31">
        <f t="shared" si="8"/>
        <v>0.17551364995716615</v>
      </c>
      <c r="AI31" s="11">
        <v>5</v>
      </c>
      <c r="AJ31" s="11">
        <v>6</v>
      </c>
      <c r="AK31">
        <f>SUMPRODUCT(AD31:AG31,'Coded Choice Data'!C31:F31)</f>
        <v>0.27900989827056494</v>
      </c>
      <c r="AL31">
        <f t="shared" si="7"/>
        <v>-1.2765080201178134</v>
      </c>
    </row>
    <row r="32" spans="14:38" x14ac:dyDescent="0.3">
      <c r="N32" s="11">
        <v>6</v>
      </c>
      <c r="O32" s="11">
        <v>1</v>
      </c>
      <c r="P32">
        <f>SUMPRODUCT($A$2:$L$2,'Survey Encoding'!C33:N33)</f>
        <v>-0.5677340101284214</v>
      </c>
      <c r="Q32">
        <f>SUMPRODUCT($A$2:$L$2,'Survey Encoding'!O33:Z33)</f>
        <v>-0.45781983272127458</v>
      </c>
      <c r="R32">
        <f>SUMPRODUCT($A$2:$L$2,'Survey Encoding'!AA33:AL33)</f>
        <v>-1.1407000318204914</v>
      </c>
      <c r="S32">
        <f>SUMPRODUCT($A$2:$L$2,'Survey Encoding'!AM33:AX33)</f>
        <v>-0.31352815855853916</v>
      </c>
      <c r="U32" s="11">
        <v>6</v>
      </c>
      <c r="V32" s="11">
        <v>1</v>
      </c>
      <c r="W32" s="1">
        <f t="shared" si="1"/>
        <v>0.56680836661762923</v>
      </c>
      <c r="X32" s="1">
        <f t="shared" si="2"/>
        <v>0.63266145083175696</v>
      </c>
      <c r="Y32" s="1">
        <f t="shared" si="3"/>
        <v>0.31959521666873603</v>
      </c>
      <c r="Z32" s="1">
        <f t="shared" si="4"/>
        <v>0.73086379864279061</v>
      </c>
      <c r="AB32" s="11">
        <v>6</v>
      </c>
      <c r="AC32" s="11">
        <v>1</v>
      </c>
      <c r="AD32">
        <f t="shared" si="5"/>
        <v>0.25192279789671945</v>
      </c>
      <c r="AE32">
        <f t="shared" si="6"/>
        <v>0.28119176109913269</v>
      </c>
      <c r="AF32">
        <f t="shared" si="8"/>
        <v>0.14204681144361231</v>
      </c>
      <c r="AG32">
        <f t="shared" si="8"/>
        <v>0.32483862956053577</v>
      </c>
      <c r="AI32" s="11">
        <v>6</v>
      </c>
      <c r="AJ32" s="11">
        <v>1</v>
      </c>
      <c r="AK32">
        <f>SUMPRODUCT(AD32:AG32,'Coded Choice Data'!C32:F32)</f>
        <v>0.28119176109913269</v>
      </c>
      <c r="AL32">
        <f t="shared" si="7"/>
        <v>-1.2687184185533291</v>
      </c>
    </row>
    <row r="33" spans="14:38" x14ac:dyDescent="0.3">
      <c r="N33" s="11">
        <v>6</v>
      </c>
      <c r="O33" s="11">
        <v>2</v>
      </c>
      <c r="P33">
        <f>SUMPRODUCT($A$2:$L$2,'Survey Encoding'!C34:N34)</f>
        <v>1.0311076931258887</v>
      </c>
      <c r="Q33">
        <f>SUMPRODUCT($A$2:$L$2,'Survey Encoding'!O34:Z34)</f>
        <v>1.3885885502977624</v>
      </c>
      <c r="R33">
        <f>SUMPRODUCT($A$2:$L$2,'Survey Encoding'!AA34:AL34)</f>
        <v>0.7637752520424238</v>
      </c>
      <c r="S33">
        <f>SUMPRODUCT($A$2:$L$2,'Survey Encoding'!AM34:AX34)</f>
        <v>-0.31352815855853916</v>
      </c>
      <c r="U33" s="11">
        <v>6</v>
      </c>
      <c r="V33" s="11">
        <v>2</v>
      </c>
      <c r="W33" s="1">
        <f t="shared" si="1"/>
        <v>2.8041702751355775</v>
      </c>
      <c r="X33" s="1">
        <f t="shared" si="2"/>
        <v>4.0091872913740838</v>
      </c>
      <c r="Y33" s="1">
        <f t="shared" si="3"/>
        <v>2.1463640092801262</v>
      </c>
      <c r="Z33" s="1">
        <f t="shared" si="4"/>
        <v>0.73086379864279061</v>
      </c>
      <c r="AB33" s="11">
        <v>6</v>
      </c>
      <c r="AC33" s="11">
        <v>2</v>
      </c>
      <c r="AD33">
        <f t="shared" si="5"/>
        <v>0.28937057636724789</v>
      </c>
      <c r="AE33">
        <f t="shared" si="6"/>
        <v>0.41371982563115672</v>
      </c>
      <c r="AF33">
        <f t="shared" si="8"/>
        <v>0.22148961351117596</v>
      </c>
      <c r="AG33">
        <f t="shared" si="8"/>
        <v>7.5419984490419451E-2</v>
      </c>
      <c r="AI33" s="11">
        <v>6</v>
      </c>
      <c r="AJ33" s="11">
        <v>2</v>
      </c>
      <c r="AK33">
        <f>SUMPRODUCT(AD33:AG33,'Coded Choice Data'!C33:F33)</f>
        <v>0.22148961351117596</v>
      </c>
      <c r="AL33">
        <f t="shared" si="7"/>
        <v>-1.5073795821937916</v>
      </c>
    </row>
    <row r="34" spans="14:38" x14ac:dyDescent="0.3">
      <c r="N34" s="11">
        <v>6</v>
      </c>
      <c r="O34" s="11">
        <v>3</v>
      </c>
      <c r="P34">
        <f>SUMPRODUCT($A$2:$L$2,'Survey Encoding'!C35:N35)</f>
        <v>0.15000228289066947</v>
      </c>
      <c r="Q34">
        <f>SUMPRODUCT($A$2:$L$2,'Survey Encoding'!O35:Z35)</f>
        <v>-0.5677340101284214</v>
      </c>
      <c r="R34">
        <f>SUMPRODUCT($A$2:$L$2,'Survey Encoding'!AA35:AL35)</f>
        <v>0.7637752520424238</v>
      </c>
      <c r="S34">
        <f>SUMPRODUCT($A$2:$L$2,'Survey Encoding'!AM35:AX35)</f>
        <v>-0.31352815855853916</v>
      </c>
      <c r="U34" s="11">
        <v>6</v>
      </c>
      <c r="V34" s="11">
        <v>3</v>
      </c>
      <c r="W34" s="1">
        <f t="shared" si="1"/>
        <v>1.1618368950718627</v>
      </c>
      <c r="X34" s="1">
        <f t="shared" si="2"/>
        <v>0.56680836661762923</v>
      </c>
      <c r="Y34" s="1">
        <f t="shared" si="3"/>
        <v>2.1463640092801262</v>
      </c>
      <c r="Z34" s="1">
        <f t="shared" si="4"/>
        <v>0.73086379864279061</v>
      </c>
      <c r="AB34" s="11">
        <v>6</v>
      </c>
      <c r="AC34" s="11">
        <v>3</v>
      </c>
      <c r="AD34">
        <f t="shared" si="5"/>
        <v>0.25225117529555219</v>
      </c>
      <c r="AE34">
        <f t="shared" si="6"/>
        <v>0.12306209008606635</v>
      </c>
      <c r="AF34">
        <f t="shared" si="8"/>
        <v>0.46600589656734631</v>
      </c>
      <c r="AG34">
        <f t="shared" si="8"/>
        <v>0.15868083805103511</v>
      </c>
      <c r="AI34" s="11">
        <v>6</v>
      </c>
      <c r="AJ34" s="11">
        <v>3</v>
      </c>
      <c r="AK34">
        <f>SUMPRODUCT(AD34:AG34,'Coded Choice Data'!C34:F34)</f>
        <v>0.46600589656734631</v>
      </c>
      <c r="AL34">
        <f t="shared" si="7"/>
        <v>-0.7635569913585506</v>
      </c>
    </row>
    <row r="35" spans="14:38" x14ac:dyDescent="0.3">
      <c r="N35" s="11">
        <v>6</v>
      </c>
      <c r="O35" s="11">
        <v>4</v>
      </c>
      <c r="P35">
        <f>SUMPRODUCT($A$2:$L$2,'Survey Encoding'!C36:N36)</f>
        <v>0.95180473721565084</v>
      </c>
      <c r="Q35">
        <f>SUMPRODUCT($A$2:$L$2,'Survey Encoding'!O36:Z36)</f>
        <v>1.0311076931258887</v>
      </c>
      <c r="R35">
        <f>SUMPRODUCT($A$2:$L$2,'Survey Encoding'!AA36:AL36)</f>
        <v>1.1267499129920266</v>
      </c>
      <c r="S35">
        <f>SUMPRODUCT($A$2:$L$2,'Survey Encoding'!AM36:AX36)</f>
        <v>-0.31352815855853916</v>
      </c>
      <c r="U35" s="11">
        <v>6</v>
      </c>
      <c r="V35" s="11">
        <v>4</v>
      </c>
      <c r="W35" s="1">
        <f t="shared" si="1"/>
        <v>2.5903803992282071</v>
      </c>
      <c r="X35" s="1">
        <f t="shared" si="2"/>
        <v>2.8041702751355775</v>
      </c>
      <c r="Y35" s="1">
        <f t="shared" si="3"/>
        <v>3.0856116792654009</v>
      </c>
      <c r="Z35" s="1">
        <f t="shared" si="4"/>
        <v>0.73086379864279061</v>
      </c>
      <c r="AB35" s="11">
        <v>6</v>
      </c>
      <c r="AC35" s="11">
        <v>4</v>
      </c>
      <c r="AD35">
        <f t="shared" si="5"/>
        <v>0.28122603892393339</v>
      </c>
      <c r="AE35">
        <f t="shared" si="6"/>
        <v>0.30443625159438997</v>
      </c>
      <c r="AF35">
        <f t="shared" si="8"/>
        <v>0.33499108875120381</v>
      </c>
      <c r="AG35">
        <f t="shared" si="8"/>
        <v>7.9346620730472786E-2</v>
      </c>
      <c r="AI35" s="11">
        <v>6</v>
      </c>
      <c r="AJ35" s="11">
        <v>4</v>
      </c>
      <c r="AK35">
        <f>SUMPRODUCT(AD35:AG35,'Coded Choice Data'!C35:F35)</f>
        <v>7.9346620730472786E-2</v>
      </c>
      <c r="AL35">
        <f t="shared" si="7"/>
        <v>-2.5339294198041178</v>
      </c>
    </row>
    <row r="36" spans="14:38" x14ac:dyDescent="0.3">
      <c r="N36" s="11">
        <v>6</v>
      </c>
      <c r="O36" s="11">
        <v>5</v>
      </c>
      <c r="P36">
        <f>SUMPRODUCT($A$2:$L$2,'Survey Encoding'!C37:N37)</f>
        <v>1.3885885502977624</v>
      </c>
      <c r="Q36">
        <f>SUMPRODUCT($A$2:$L$2,'Survey Encoding'!O37:Z37)</f>
        <v>1.4106531441928372</v>
      </c>
      <c r="R36">
        <f>SUMPRODUCT($A$2:$L$2,'Survey Encoding'!AA37:AL37)</f>
        <v>1.1267499129920266</v>
      </c>
      <c r="S36">
        <f>SUMPRODUCT($A$2:$L$2,'Survey Encoding'!AM37:AX37)</f>
        <v>-0.31352815855853916</v>
      </c>
      <c r="U36" s="11">
        <v>6</v>
      </c>
      <c r="V36" s="11">
        <v>5</v>
      </c>
      <c r="W36" s="1">
        <f t="shared" si="1"/>
        <v>4.0091872913740838</v>
      </c>
      <c r="X36" s="1">
        <f t="shared" si="2"/>
        <v>4.0986315274095384</v>
      </c>
      <c r="Y36" s="1">
        <f t="shared" si="3"/>
        <v>3.0856116792654009</v>
      </c>
      <c r="Z36" s="1">
        <f t="shared" si="4"/>
        <v>0.73086379864279061</v>
      </c>
      <c r="AB36" s="11">
        <v>6</v>
      </c>
      <c r="AC36" s="11">
        <v>5</v>
      </c>
      <c r="AD36">
        <f t="shared" si="5"/>
        <v>0.33622008914073537</v>
      </c>
      <c r="AE36">
        <f t="shared" si="6"/>
        <v>0.34372109790569594</v>
      </c>
      <c r="AF36">
        <f t="shared" si="8"/>
        <v>0.25876681692781178</v>
      </c>
      <c r="AG36">
        <f t="shared" si="8"/>
        <v>6.1291996025756926E-2</v>
      </c>
      <c r="AI36" s="11">
        <v>6</v>
      </c>
      <c r="AJ36" s="11">
        <v>5</v>
      </c>
      <c r="AK36">
        <f>SUMPRODUCT(AD36:AG36,'Coded Choice Data'!C36:F36)</f>
        <v>0.33622008914073537</v>
      </c>
      <c r="AL36">
        <f t="shared" si="7"/>
        <v>-1.0899893062510464</v>
      </c>
    </row>
    <row r="37" spans="14:38" x14ac:dyDescent="0.3">
      <c r="N37" s="11">
        <v>6</v>
      </c>
      <c r="O37" s="11">
        <v>6</v>
      </c>
      <c r="P37">
        <f>SUMPRODUCT($A$2:$L$2,'Survey Encoding'!C38:N38)</f>
        <v>-1.1407000318204914</v>
      </c>
      <c r="Q37">
        <f>SUMPRODUCT($A$2:$L$2,'Survey Encoding'!O38:Z38)</f>
        <v>0.66877574618081503</v>
      </c>
      <c r="R37">
        <f>SUMPRODUCT($A$2:$L$2,'Survey Encoding'!AA38:AL38)</f>
        <v>0.15000228289066947</v>
      </c>
      <c r="S37">
        <f>SUMPRODUCT($A$2:$L$2,'Survey Encoding'!AM38:AX38)</f>
        <v>-0.31352815855853916</v>
      </c>
      <c r="U37" s="11">
        <v>6</v>
      </c>
      <c r="V37" s="11">
        <v>6</v>
      </c>
      <c r="W37" s="1">
        <f t="shared" si="1"/>
        <v>0.31959521666873603</v>
      </c>
      <c r="X37" s="1">
        <f t="shared" si="2"/>
        <v>1.9518463020380199</v>
      </c>
      <c r="Y37" s="1">
        <f t="shared" si="3"/>
        <v>1.1618368950718627</v>
      </c>
      <c r="Z37" s="1">
        <f t="shared" si="4"/>
        <v>0.73086379864279061</v>
      </c>
      <c r="AB37" s="11">
        <v>6</v>
      </c>
      <c r="AC37" s="11">
        <v>6</v>
      </c>
      <c r="AD37">
        <f t="shared" si="5"/>
        <v>7.6749352055124564E-2</v>
      </c>
      <c r="AE37">
        <f t="shared" si="6"/>
        <v>0.46872709971714432</v>
      </c>
      <c r="AF37">
        <f t="shared" si="8"/>
        <v>0.27900989827056494</v>
      </c>
      <c r="AG37">
        <f t="shared" si="8"/>
        <v>0.17551364995716615</v>
      </c>
      <c r="AI37" s="11">
        <v>6</v>
      </c>
      <c r="AJ37" s="11">
        <v>6</v>
      </c>
      <c r="AK37">
        <f>SUMPRODUCT(AD37:AG37,'Coded Choice Data'!C37:F37)</f>
        <v>0.27900989827056494</v>
      </c>
      <c r="AL37">
        <f t="shared" si="7"/>
        <v>-1.2765080201178134</v>
      </c>
    </row>
    <row r="38" spans="14:38" x14ac:dyDescent="0.3">
      <c r="N38" s="11">
        <v>7</v>
      </c>
      <c r="O38" s="11">
        <v>1</v>
      </c>
      <c r="P38">
        <f>SUMPRODUCT($A$2:$L$2,'Survey Encoding'!C39:N39)</f>
        <v>-0.5677340101284214</v>
      </c>
      <c r="Q38">
        <f>SUMPRODUCT($A$2:$L$2,'Survey Encoding'!O39:Z39)</f>
        <v>-0.45781983272127458</v>
      </c>
      <c r="R38">
        <f>SUMPRODUCT($A$2:$L$2,'Survey Encoding'!AA39:AL39)</f>
        <v>-1.1407000318204914</v>
      </c>
      <c r="S38">
        <f>SUMPRODUCT($A$2:$L$2,'Survey Encoding'!AM39:AX39)</f>
        <v>-0.31352815855853916</v>
      </c>
      <c r="U38" s="11">
        <v>7</v>
      </c>
      <c r="V38" s="11">
        <v>1</v>
      </c>
      <c r="W38" s="1">
        <f t="shared" si="1"/>
        <v>0.56680836661762923</v>
      </c>
      <c r="X38" s="1">
        <f t="shared" si="2"/>
        <v>0.63266145083175696</v>
      </c>
      <c r="Y38" s="1">
        <f t="shared" si="3"/>
        <v>0.31959521666873603</v>
      </c>
      <c r="Z38" s="1">
        <f t="shared" si="4"/>
        <v>0.73086379864279061</v>
      </c>
      <c r="AB38" s="11">
        <v>7</v>
      </c>
      <c r="AC38" s="11">
        <v>1</v>
      </c>
      <c r="AD38">
        <f t="shared" si="5"/>
        <v>0.25192279789671945</v>
      </c>
      <c r="AE38">
        <f t="shared" si="6"/>
        <v>0.28119176109913269</v>
      </c>
      <c r="AF38">
        <f t="shared" si="8"/>
        <v>0.14204681144361231</v>
      </c>
      <c r="AG38">
        <f t="shared" si="8"/>
        <v>0.32483862956053577</v>
      </c>
      <c r="AI38" s="11">
        <v>7</v>
      </c>
      <c r="AJ38" s="11">
        <v>1</v>
      </c>
      <c r="AK38">
        <f>SUMPRODUCT(AD38:AG38,'Coded Choice Data'!C38:F38)</f>
        <v>0.25192279789671945</v>
      </c>
      <c r="AL38">
        <f t="shared" si="7"/>
        <v>-1.3786325959604759</v>
      </c>
    </row>
    <row r="39" spans="14:38" x14ac:dyDescent="0.3">
      <c r="N39" s="11">
        <v>7</v>
      </c>
      <c r="O39" s="11">
        <v>2</v>
      </c>
      <c r="P39">
        <f>SUMPRODUCT($A$2:$L$2,'Survey Encoding'!C40:N40)</f>
        <v>1.0311076931258887</v>
      </c>
      <c r="Q39">
        <f>SUMPRODUCT($A$2:$L$2,'Survey Encoding'!O40:Z40)</f>
        <v>1.3885885502977624</v>
      </c>
      <c r="R39">
        <f>SUMPRODUCT($A$2:$L$2,'Survey Encoding'!AA40:AL40)</f>
        <v>0.7637752520424238</v>
      </c>
      <c r="S39">
        <f>SUMPRODUCT($A$2:$L$2,'Survey Encoding'!AM40:AX40)</f>
        <v>-0.31352815855853916</v>
      </c>
      <c r="U39" s="11">
        <v>7</v>
      </c>
      <c r="V39" s="11">
        <v>2</v>
      </c>
      <c r="W39" s="1">
        <f t="shared" si="1"/>
        <v>2.8041702751355775</v>
      </c>
      <c r="X39" s="1">
        <f t="shared" si="2"/>
        <v>4.0091872913740838</v>
      </c>
      <c r="Y39" s="1">
        <f t="shared" si="3"/>
        <v>2.1463640092801262</v>
      </c>
      <c r="Z39" s="1">
        <f t="shared" si="4"/>
        <v>0.73086379864279061</v>
      </c>
      <c r="AB39" s="11">
        <v>7</v>
      </c>
      <c r="AC39" s="11">
        <v>2</v>
      </c>
      <c r="AD39">
        <f t="shared" si="5"/>
        <v>0.28937057636724789</v>
      </c>
      <c r="AE39">
        <f t="shared" si="6"/>
        <v>0.41371982563115672</v>
      </c>
      <c r="AF39">
        <f t="shared" si="8"/>
        <v>0.22148961351117596</v>
      </c>
      <c r="AG39">
        <f t="shared" si="8"/>
        <v>7.5419984490419451E-2</v>
      </c>
      <c r="AI39" s="11">
        <v>7</v>
      </c>
      <c r="AJ39" s="11">
        <v>2</v>
      </c>
      <c r="AK39">
        <f>SUMPRODUCT(AD39:AG39,'Coded Choice Data'!C39:F39)</f>
        <v>0.41371982563115672</v>
      </c>
      <c r="AL39">
        <f t="shared" si="7"/>
        <v>-0.88256628393845316</v>
      </c>
    </row>
    <row r="40" spans="14:38" x14ac:dyDescent="0.3">
      <c r="N40" s="11">
        <v>7</v>
      </c>
      <c r="O40" s="11">
        <v>3</v>
      </c>
      <c r="P40">
        <f>SUMPRODUCT($A$2:$L$2,'Survey Encoding'!C41:N41)</f>
        <v>0.15000228289066947</v>
      </c>
      <c r="Q40">
        <f>SUMPRODUCT($A$2:$L$2,'Survey Encoding'!O41:Z41)</f>
        <v>-0.5677340101284214</v>
      </c>
      <c r="R40">
        <f>SUMPRODUCT($A$2:$L$2,'Survey Encoding'!AA41:AL41)</f>
        <v>0.7637752520424238</v>
      </c>
      <c r="S40">
        <f>SUMPRODUCT($A$2:$L$2,'Survey Encoding'!AM41:AX41)</f>
        <v>-0.31352815855853916</v>
      </c>
      <c r="U40" s="11">
        <v>7</v>
      </c>
      <c r="V40" s="11">
        <v>3</v>
      </c>
      <c r="W40" s="1">
        <f t="shared" si="1"/>
        <v>1.1618368950718627</v>
      </c>
      <c r="X40" s="1">
        <f t="shared" si="2"/>
        <v>0.56680836661762923</v>
      </c>
      <c r="Y40" s="1">
        <f t="shared" si="3"/>
        <v>2.1463640092801262</v>
      </c>
      <c r="Z40" s="1">
        <f t="shared" si="4"/>
        <v>0.73086379864279061</v>
      </c>
      <c r="AB40" s="11">
        <v>7</v>
      </c>
      <c r="AC40" s="11">
        <v>3</v>
      </c>
      <c r="AD40">
        <f t="shared" si="5"/>
        <v>0.25225117529555219</v>
      </c>
      <c r="AE40">
        <f t="shared" si="6"/>
        <v>0.12306209008606635</v>
      </c>
      <c r="AF40">
        <f t="shared" si="8"/>
        <v>0.46600589656734631</v>
      </c>
      <c r="AG40">
        <f t="shared" si="8"/>
        <v>0.15868083805103511</v>
      </c>
      <c r="AI40" s="11">
        <v>7</v>
      </c>
      <c r="AJ40" s="11">
        <v>3</v>
      </c>
      <c r="AK40">
        <f>SUMPRODUCT(AD40:AG40,'Coded Choice Data'!C40:F40)</f>
        <v>0.12306209008606635</v>
      </c>
      <c r="AL40">
        <f t="shared" si="7"/>
        <v>-2.0950662535293958</v>
      </c>
    </row>
    <row r="41" spans="14:38" x14ac:dyDescent="0.3">
      <c r="N41" s="11">
        <v>7</v>
      </c>
      <c r="O41" s="11">
        <v>4</v>
      </c>
      <c r="P41">
        <f>SUMPRODUCT($A$2:$L$2,'Survey Encoding'!C42:N42)</f>
        <v>0.95180473721565084</v>
      </c>
      <c r="Q41">
        <f>SUMPRODUCT($A$2:$L$2,'Survey Encoding'!O42:Z42)</f>
        <v>1.0311076931258887</v>
      </c>
      <c r="R41">
        <f>SUMPRODUCT($A$2:$L$2,'Survey Encoding'!AA42:AL42)</f>
        <v>1.1267499129920266</v>
      </c>
      <c r="S41">
        <f>SUMPRODUCT($A$2:$L$2,'Survey Encoding'!AM42:AX42)</f>
        <v>-0.31352815855853916</v>
      </c>
      <c r="U41" s="11">
        <v>7</v>
      </c>
      <c r="V41" s="11">
        <v>4</v>
      </c>
      <c r="W41" s="1">
        <f t="shared" si="1"/>
        <v>2.5903803992282071</v>
      </c>
      <c r="X41" s="1">
        <f t="shared" si="2"/>
        <v>2.8041702751355775</v>
      </c>
      <c r="Y41" s="1">
        <f t="shared" si="3"/>
        <v>3.0856116792654009</v>
      </c>
      <c r="Z41" s="1">
        <f t="shared" si="4"/>
        <v>0.73086379864279061</v>
      </c>
      <c r="AB41" s="11">
        <v>7</v>
      </c>
      <c r="AC41" s="11">
        <v>4</v>
      </c>
      <c r="AD41">
        <f t="shared" si="5"/>
        <v>0.28122603892393339</v>
      </c>
      <c r="AE41">
        <f t="shared" si="6"/>
        <v>0.30443625159438997</v>
      </c>
      <c r="AF41">
        <f t="shared" si="8"/>
        <v>0.33499108875120381</v>
      </c>
      <c r="AG41">
        <f t="shared" si="8"/>
        <v>7.9346620730472786E-2</v>
      </c>
      <c r="AI41" s="11">
        <v>7</v>
      </c>
      <c r="AJ41" s="11">
        <v>4</v>
      </c>
      <c r="AK41">
        <f>SUMPRODUCT(AD41:AG41,'Coded Choice Data'!C41:F41)</f>
        <v>0.28122603892393339</v>
      </c>
      <c r="AL41">
        <f t="shared" si="7"/>
        <v>-1.2685965240299277</v>
      </c>
    </row>
    <row r="42" spans="14:38" x14ac:dyDescent="0.3">
      <c r="N42" s="11">
        <v>7</v>
      </c>
      <c r="O42" s="11">
        <v>5</v>
      </c>
      <c r="P42">
        <f>SUMPRODUCT($A$2:$L$2,'Survey Encoding'!C43:N43)</f>
        <v>1.3885885502977624</v>
      </c>
      <c r="Q42">
        <f>SUMPRODUCT($A$2:$L$2,'Survey Encoding'!O43:Z43)</f>
        <v>1.4106531441928372</v>
      </c>
      <c r="R42">
        <f>SUMPRODUCT($A$2:$L$2,'Survey Encoding'!AA43:AL43)</f>
        <v>1.1267499129920266</v>
      </c>
      <c r="S42">
        <f>SUMPRODUCT($A$2:$L$2,'Survey Encoding'!AM43:AX43)</f>
        <v>-0.31352815855853916</v>
      </c>
      <c r="U42" s="11">
        <v>7</v>
      </c>
      <c r="V42" s="11">
        <v>5</v>
      </c>
      <c r="W42" s="1">
        <f t="shared" si="1"/>
        <v>4.0091872913740838</v>
      </c>
      <c r="X42" s="1">
        <f t="shared" si="2"/>
        <v>4.0986315274095384</v>
      </c>
      <c r="Y42" s="1">
        <f t="shared" si="3"/>
        <v>3.0856116792654009</v>
      </c>
      <c r="Z42" s="1">
        <f t="shared" si="4"/>
        <v>0.73086379864279061</v>
      </c>
      <c r="AB42" s="11">
        <v>7</v>
      </c>
      <c r="AC42" s="11">
        <v>5</v>
      </c>
      <c r="AD42">
        <f t="shared" si="5"/>
        <v>0.33622008914073537</v>
      </c>
      <c r="AE42">
        <f t="shared" si="6"/>
        <v>0.34372109790569594</v>
      </c>
      <c r="AF42">
        <f t="shared" si="8"/>
        <v>0.25876681692781178</v>
      </c>
      <c r="AG42">
        <f t="shared" si="8"/>
        <v>6.1291996025756926E-2</v>
      </c>
      <c r="AI42" s="11">
        <v>7</v>
      </c>
      <c r="AJ42" s="11">
        <v>5</v>
      </c>
      <c r="AK42">
        <f>SUMPRODUCT(AD42:AG42,'Coded Choice Data'!C42:F42)</f>
        <v>0.34372109790569594</v>
      </c>
      <c r="AL42">
        <f t="shared" si="7"/>
        <v>-1.0679247123559716</v>
      </c>
    </row>
    <row r="43" spans="14:38" x14ac:dyDescent="0.3">
      <c r="N43" s="11">
        <v>7</v>
      </c>
      <c r="O43" s="11">
        <v>6</v>
      </c>
      <c r="P43">
        <f>SUMPRODUCT($A$2:$L$2,'Survey Encoding'!C44:N44)</f>
        <v>-1.1407000318204914</v>
      </c>
      <c r="Q43">
        <f>SUMPRODUCT($A$2:$L$2,'Survey Encoding'!O44:Z44)</f>
        <v>0.66877574618081503</v>
      </c>
      <c r="R43">
        <f>SUMPRODUCT($A$2:$L$2,'Survey Encoding'!AA44:AL44)</f>
        <v>0.15000228289066947</v>
      </c>
      <c r="S43">
        <f>SUMPRODUCT($A$2:$L$2,'Survey Encoding'!AM44:AX44)</f>
        <v>-0.31352815855853916</v>
      </c>
      <c r="U43" s="11">
        <v>7</v>
      </c>
      <c r="V43" s="11">
        <v>6</v>
      </c>
      <c r="W43" s="1">
        <f t="shared" si="1"/>
        <v>0.31959521666873603</v>
      </c>
      <c r="X43" s="1">
        <f t="shared" si="2"/>
        <v>1.9518463020380199</v>
      </c>
      <c r="Y43" s="1">
        <f t="shared" si="3"/>
        <v>1.1618368950718627</v>
      </c>
      <c r="Z43" s="1">
        <f t="shared" si="4"/>
        <v>0.73086379864279061</v>
      </c>
      <c r="AB43" s="11">
        <v>7</v>
      </c>
      <c r="AC43" s="11">
        <v>6</v>
      </c>
      <c r="AD43">
        <f t="shared" si="5"/>
        <v>7.6749352055124564E-2</v>
      </c>
      <c r="AE43">
        <f t="shared" si="6"/>
        <v>0.46872709971714432</v>
      </c>
      <c r="AF43">
        <f t="shared" si="8"/>
        <v>0.27900989827056494</v>
      </c>
      <c r="AG43">
        <f t="shared" si="8"/>
        <v>0.17551364995716615</v>
      </c>
      <c r="AI43" s="11">
        <v>7</v>
      </c>
      <c r="AJ43" s="11">
        <v>6</v>
      </c>
      <c r="AK43">
        <f>SUMPRODUCT(AD43:AG43,'Coded Choice Data'!C43:F43)</f>
        <v>0.27900989827056494</v>
      </c>
      <c r="AL43">
        <f t="shared" si="7"/>
        <v>-1.2765080201178134</v>
      </c>
    </row>
    <row r="44" spans="14:38" x14ac:dyDescent="0.3">
      <c r="N44" s="11">
        <v>8</v>
      </c>
      <c r="O44" s="11">
        <v>1</v>
      </c>
      <c r="P44">
        <f>SUMPRODUCT($A$2:$L$2,'Survey Encoding'!C45:N45)</f>
        <v>-0.5677340101284214</v>
      </c>
      <c r="Q44">
        <f>SUMPRODUCT($A$2:$L$2,'Survey Encoding'!O45:Z45)</f>
        <v>-0.45781983272127458</v>
      </c>
      <c r="R44">
        <f>SUMPRODUCT($A$2:$L$2,'Survey Encoding'!AA45:AL45)</f>
        <v>-1.1407000318204914</v>
      </c>
      <c r="S44">
        <f>SUMPRODUCT($A$2:$L$2,'Survey Encoding'!AM45:AX45)</f>
        <v>-0.31352815855853916</v>
      </c>
      <c r="U44" s="11">
        <v>8</v>
      </c>
      <c r="V44" s="11">
        <v>1</v>
      </c>
      <c r="W44" s="1">
        <f t="shared" si="1"/>
        <v>0.56680836661762923</v>
      </c>
      <c r="X44" s="1">
        <f t="shared" si="2"/>
        <v>0.63266145083175696</v>
      </c>
      <c r="Y44" s="1">
        <f t="shared" si="3"/>
        <v>0.31959521666873603</v>
      </c>
      <c r="Z44" s="1">
        <f t="shared" si="4"/>
        <v>0.73086379864279061</v>
      </c>
      <c r="AB44" s="11">
        <v>8</v>
      </c>
      <c r="AC44" s="11">
        <v>1</v>
      </c>
      <c r="AD44">
        <f t="shared" si="5"/>
        <v>0.25192279789671945</v>
      </c>
      <c r="AE44">
        <f t="shared" si="6"/>
        <v>0.28119176109913269</v>
      </c>
      <c r="AF44">
        <f t="shared" si="8"/>
        <v>0.14204681144361231</v>
      </c>
      <c r="AG44">
        <f t="shared" si="8"/>
        <v>0.32483862956053577</v>
      </c>
      <c r="AI44" s="11">
        <v>8</v>
      </c>
      <c r="AJ44" s="11">
        <v>1</v>
      </c>
      <c r="AK44">
        <f>SUMPRODUCT(AD44:AG44,'Coded Choice Data'!C44:F44)</f>
        <v>0.28119176109913269</v>
      </c>
      <c r="AL44">
        <f t="shared" si="7"/>
        <v>-1.2687184185533291</v>
      </c>
    </row>
    <row r="45" spans="14:38" x14ac:dyDescent="0.3">
      <c r="N45" s="11">
        <v>8</v>
      </c>
      <c r="O45" s="11">
        <v>2</v>
      </c>
      <c r="P45">
        <f>SUMPRODUCT($A$2:$L$2,'Survey Encoding'!C46:N46)</f>
        <v>1.0311076931258887</v>
      </c>
      <c r="Q45">
        <f>SUMPRODUCT($A$2:$L$2,'Survey Encoding'!O46:Z46)</f>
        <v>1.3885885502977624</v>
      </c>
      <c r="R45">
        <f>SUMPRODUCT($A$2:$L$2,'Survey Encoding'!AA46:AL46)</f>
        <v>0.7637752520424238</v>
      </c>
      <c r="S45">
        <f>SUMPRODUCT($A$2:$L$2,'Survey Encoding'!AM46:AX46)</f>
        <v>-0.31352815855853916</v>
      </c>
      <c r="U45" s="11">
        <v>8</v>
      </c>
      <c r="V45" s="11">
        <v>2</v>
      </c>
      <c r="W45" s="1">
        <f t="shared" si="1"/>
        <v>2.8041702751355775</v>
      </c>
      <c r="X45" s="1">
        <f t="shared" si="2"/>
        <v>4.0091872913740838</v>
      </c>
      <c r="Y45" s="1">
        <f t="shared" si="3"/>
        <v>2.1463640092801262</v>
      </c>
      <c r="Z45" s="1">
        <f t="shared" si="4"/>
        <v>0.73086379864279061</v>
      </c>
      <c r="AB45" s="11">
        <v>8</v>
      </c>
      <c r="AC45" s="11">
        <v>2</v>
      </c>
      <c r="AD45">
        <f t="shared" si="5"/>
        <v>0.28937057636724789</v>
      </c>
      <c r="AE45">
        <f t="shared" si="6"/>
        <v>0.41371982563115672</v>
      </c>
      <c r="AF45">
        <f t="shared" si="8"/>
        <v>0.22148961351117596</v>
      </c>
      <c r="AG45">
        <f t="shared" si="8"/>
        <v>7.5419984490419451E-2</v>
      </c>
      <c r="AI45" s="11">
        <v>8</v>
      </c>
      <c r="AJ45" s="11">
        <v>2</v>
      </c>
      <c r="AK45">
        <f>SUMPRODUCT(AD45:AG45,'Coded Choice Data'!C45:F45)</f>
        <v>0.28937057636724789</v>
      </c>
      <c r="AL45">
        <f t="shared" si="7"/>
        <v>-1.2400471411103269</v>
      </c>
    </row>
    <row r="46" spans="14:38" x14ac:dyDescent="0.3">
      <c r="N46" s="11">
        <v>8</v>
      </c>
      <c r="O46" s="11">
        <v>3</v>
      </c>
      <c r="P46">
        <f>SUMPRODUCT($A$2:$L$2,'Survey Encoding'!C47:N47)</f>
        <v>0.15000228289066947</v>
      </c>
      <c r="Q46">
        <f>SUMPRODUCT($A$2:$L$2,'Survey Encoding'!O47:Z47)</f>
        <v>-0.5677340101284214</v>
      </c>
      <c r="R46">
        <f>SUMPRODUCT($A$2:$L$2,'Survey Encoding'!AA47:AL47)</f>
        <v>0.7637752520424238</v>
      </c>
      <c r="S46">
        <f>SUMPRODUCT($A$2:$L$2,'Survey Encoding'!AM47:AX47)</f>
        <v>-0.31352815855853916</v>
      </c>
      <c r="U46" s="11">
        <v>8</v>
      </c>
      <c r="V46" s="11">
        <v>3</v>
      </c>
      <c r="W46" s="1">
        <f t="shared" si="1"/>
        <v>1.1618368950718627</v>
      </c>
      <c r="X46" s="1">
        <f t="shared" si="2"/>
        <v>0.56680836661762923</v>
      </c>
      <c r="Y46" s="1">
        <f t="shared" si="3"/>
        <v>2.1463640092801262</v>
      </c>
      <c r="Z46" s="1">
        <f t="shared" si="4"/>
        <v>0.73086379864279061</v>
      </c>
      <c r="AB46" s="11">
        <v>8</v>
      </c>
      <c r="AC46" s="11">
        <v>3</v>
      </c>
      <c r="AD46">
        <f t="shared" si="5"/>
        <v>0.25225117529555219</v>
      </c>
      <c r="AE46">
        <f t="shared" si="6"/>
        <v>0.12306209008606635</v>
      </c>
      <c r="AF46">
        <f t="shared" si="8"/>
        <v>0.46600589656734631</v>
      </c>
      <c r="AG46">
        <f t="shared" si="8"/>
        <v>0.15868083805103511</v>
      </c>
      <c r="AI46" s="11">
        <v>8</v>
      </c>
      <c r="AJ46" s="11">
        <v>3</v>
      </c>
      <c r="AK46">
        <f>SUMPRODUCT(AD46:AG46,'Coded Choice Data'!C46:F46)</f>
        <v>0.25225117529555219</v>
      </c>
      <c r="AL46">
        <f t="shared" si="7"/>
        <v>-1.3773299605103049</v>
      </c>
    </row>
    <row r="47" spans="14:38" x14ac:dyDescent="0.3">
      <c r="N47" s="11">
        <v>8</v>
      </c>
      <c r="O47" s="11">
        <v>4</v>
      </c>
      <c r="P47">
        <f>SUMPRODUCT($A$2:$L$2,'Survey Encoding'!C48:N48)</f>
        <v>0.95180473721565084</v>
      </c>
      <c r="Q47">
        <f>SUMPRODUCT($A$2:$L$2,'Survey Encoding'!O48:Z48)</f>
        <v>1.0311076931258887</v>
      </c>
      <c r="R47">
        <f>SUMPRODUCT($A$2:$L$2,'Survey Encoding'!AA48:AL48)</f>
        <v>1.1267499129920266</v>
      </c>
      <c r="S47">
        <f>SUMPRODUCT($A$2:$L$2,'Survey Encoding'!AM48:AX48)</f>
        <v>-0.31352815855853916</v>
      </c>
      <c r="U47" s="11">
        <v>8</v>
      </c>
      <c r="V47" s="11">
        <v>4</v>
      </c>
      <c r="W47" s="1">
        <f t="shared" si="1"/>
        <v>2.5903803992282071</v>
      </c>
      <c r="X47" s="1">
        <f t="shared" si="2"/>
        <v>2.8041702751355775</v>
      </c>
      <c r="Y47" s="1">
        <f t="shared" si="3"/>
        <v>3.0856116792654009</v>
      </c>
      <c r="Z47" s="1">
        <f t="shared" si="4"/>
        <v>0.73086379864279061</v>
      </c>
      <c r="AB47" s="11">
        <v>8</v>
      </c>
      <c r="AC47" s="11">
        <v>4</v>
      </c>
      <c r="AD47">
        <f t="shared" si="5"/>
        <v>0.28122603892393339</v>
      </c>
      <c r="AE47">
        <f t="shared" si="6"/>
        <v>0.30443625159438997</v>
      </c>
      <c r="AF47">
        <f t="shared" si="8"/>
        <v>0.33499108875120381</v>
      </c>
      <c r="AG47">
        <f t="shared" si="8"/>
        <v>7.9346620730472786E-2</v>
      </c>
      <c r="AI47" s="11">
        <v>8</v>
      </c>
      <c r="AJ47" s="11">
        <v>4</v>
      </c>
      <c r="AK47">
        <f>SUMPRODUCT(AD47:AG47,'Coded Choice Data'!C47:F47)</f>
        <v>0.33499108875120381</v>
      </c>
      <c r="AL47">
        <f t="shared" si="7"/>
        <v>-1.0936513482535519</v>
      </c>
    </row>
    <row r="48" spans="14:38" x14ac:dyDescent="0.3">
      <c r="N48" s="11">
        <v>8</v>
      </c>
      <c r="O48" s="11">
        <v>5</v>
      </c>
      <c r="P48">
        <f>SUMPRODUCT($A$2:$L$2,'Survey Encoding'!C49:N49)</f>
        <v>1.3885885502977624</v>
      </c>
      <c r="Q48">
        <f>SUMPRODUCT($A$2:$L$2,'Survey Encoding'!O49:Z49)</f>
        <v>1.4106531441928372</v>
      </c>
      <c r="R48">
        <f>SUMPRODUCT($A$2:$L$2,'Survey Encoding'!AA49:AL49)</f>
        <v>1.1267499129920266</v>
      </c>
      <c r="S48">
        <f>SUMPRODUCT($A$2:$L$2,'Survey Encoding'!AM49:AX49)</f>
        <v>-0.31352815855853916</v>
      </c>
      <c r="U48" s="11">
        <v>8</v>
      </c>
      <c r="V48" s="11">
        <v>5</v>
      </c>
      <c r="W48" s="1">
        <f t="shared" si="1"/>
        <v>4.0091872913740838</v>
      </c>
      <c r="X48" s="1">
        <f t="shared" si="2"/>
        <v>4.0986315274095384</v>
      </c>
      <c r="Y48" s="1">
        <f t="shared" si="3"/>
        <v>3.0856116792654009</v>
      </c>
      <c r="Z48" s="1">
        <f t="shared" si="4"/>
        <v>0.73086379864279061</v>
      </c>
      <c r="AB48" s="11">
        <v>8</v>
      </c>
      <c r="AC48" s="11">
        <v>5</v>
      </c>
      <c r="AD48">
        <f t="shared" si="5"/>
        <v>0.33622008914073537</v>
      </c>
      <c r="AE48">
        <f t="shared" si="6"/>
        <v>0.34372109790569594</v>
      </c>
      <c r="AF48">
        <f t="shared" si="8"/>
        <v>0.25876681692781178</v>
      </c>
      <c r="AG48">
        <f t="shared" si="8"/>
        <v>6.1291996025756926E-2</v>
      </c>
      <c r="AI48" s="11">
        <v>8</v>
      </c>
      <c r="AJ48" s="11">
        <v>5</v>
      </c>
      <c r="AK48">
        <f>SUMPRODUCT(AD48:AG48,'Coded Choice Data'!C48:F48)</f>
        <v>0.34372109790569594</v>
      </c>
      <c r="AL48">
        <f t="shared" si="7"/>
        <v>-1.0679247123559716</v>
      </c>
    </row>
    <row r="49" spans="14:38" x14ac:dyDescent="0.3">
      <c r="N49" s="11">
        <v>8</v>
      </c>
      <c r="O49" s="11">
        <v>6</v>
      </c>
      <c r="P49">
        <f>SUMPRODUCT($A$2:$L$2,'Survey Encoding'!C50:N50)</f>
        <v>-1.1407000318204914</v>
      </c>
      <c r="Q49">
        <f>SUMPRODUCT($A$2:$L$2,'Survey Encoding'!O50:Z50)</f>
        <v>0.66877574618081503</v>
      </c>
      <c r="R49">
        <f>SUMPRODUCT($A$2:$L$2,'Survey Encoding'!AA50:AL50)</f>
        <v>0.15000228289066947</v>
      </c>
      <c r="S49">
        <f>SUMPRODUCT($A$2:$L$2,'Survey Encoding'!AM50:AX50)</f>
        <v>-0.31352815855853916</v>
      </c>
      <c r="U49" s="11">
        <v>8</v>
      </c>
      <c r="V49" s="11">
        <v>6</v>
      </c>
      <c r="W49" s="1">
        <f t="shared" si="1"/>
        <v>0.31959521666873603</v>
      </c>
      <c r="X49" s="1">
        <f t="shared" si="2"/>
        <v>1.9518463020380199</v>
      </c>
      <c r="Y49" s="1">
        <f t="shared" si="3"/>
        <v>1.1618368950718627</v>
      </c>
      <c r="Z49" s="1">
        <f t="shared" si="4"/>
        <v>0.73086379864279061</v>
      </c>
      <c r="AB49" s="11">
        <v>8</v>
      </c>
      <c r="AC49" s="11">
        <v>6</v>
      </c>
      <c r="AD49">
        <f t="shared" si="5"/>
        <v>7.6749352055124564E-2</v>
      </c>
      <c r="AE49">
        <f t="shared" si="6"/>
        <v>0.46872709971714432</v>
      </c>
      <c r="AF49">
        <f t="shared" si="8"/>
        <v>0.27900989827056494</v>
      </c>
      <c r="AG49">
        <f t="shared" si="8"/>
        <v>0.17551364995716615</v>
      </c>
      <c r="AI49" s="11">
        <v>8</v>
      </c>
      <c r="AJ49" s="11">
        <v>6</v>
      </c>
      <c r="AK49">
        <f>SUMPRODUCT(AD49:AG49,'Coded Choice Data'!C49:F49)</f>
        <v>0.27900989827056494</v>
      </c>
      <c r="AL49">
        <f t="shared" si="7"/>
        <v>-1.2765080201178134</v>
      </c>
    </row>
    <row r="50" spans="14:38" x14ac:dyDescent="0.3">
      <c r="N50" s="11">
        <v>9</v>
      </c>
      <c r="O50" s="11">
        <v>1</v>
      </c>
      <c r="P50">
        <f>SUMPRODUCT($A$2:$L$2,'Survey Encoding'!C51:N51)</f>
        <v>-0.5677340101284214</v>
      </c>
      <c r="Q50">
        <f>SUMPRODUCT($A$2:$L$2,'Survey Encoding'!O51:Z51)</f>
        <v>-0.45781983272127458</v>
      </c>
      <c r="R50">
        <f>SUMPRODUCT($A$2:$L$2,'Survey Encoding'!AA51:AL51)</f>
        <v>-1.1407000318204914</v>
      </c>
      <c r="S50">
        <f>SUMPRODUCT($A$2:$L$2,'Survey Encoding'!AM51:AX51)</f>
        <v>-0.31352815855853916</v>
      </c>
      <c r="U50" s="11">
        <v>9</v>
      </c>
      <c r="V50" s="11">
        <v>1</v>
      </c>
      <c r="W50" s="1">
        <f t="shared" si="1"/>
        <v>0.56680836661762923</v>
      </c>
      <c r="X50" s="1">
        <f t="shared" si="2"/>
        <v>0.63266145083175696</v>
      </c>
      <c r="Y50" s="1">
        <f t="shared" si="3"/>
        <v>0.31959521666873603</v>
      </c>
      <c r="Z50" s="1">
        <f t="shared" si="4"/>
        <v>0.73086379864279061</v>
      </c>
      <c r="AB50" s="11">
        <v>9</v>
      </c>
      <c r="AC50" s="11">
        <v>1</v>
      </c>
      <c r="AD50">
        <f t="shared" si="5"/>
        <v>0.25192279789671945</v>
      </c>
      <c r="AE50">
        <f t="shared" si="6"/>
        <v>0.28119176109913269</v>
      </c>
      <c r="AF50">
        <f t="shared" si="8"/>
        <v>0.14204681144361231</v>
      </c>
      <c r="AG50">
        <f t="shared" si="8"/>
        <v>0.32483862956053577</v>
      </c>
      <c r="AI50" s="11">
        <v>9</v>
      </c>
      <c r="AJ50" s="11">
        <v>1</v>
      </c>
      <c r="AK50">
        <f>SUMPRODUCT(AD50:AG50,'Coded Choice Data'!C50:F50)</f>
        <v>0.32483862956053577</v>
      </c>
      <c r="AL50">
        <f t="shared" si="7"/>
        <v>-1.1244267443905935</v>
      </c>
    </row>
    <row r="51" spans="14:38" x14ac:dyDescent="0.3">
      <c r="N51" s="11">
        <v>9</v>
      </c>
      <c r="O51" s="11">
        <v>2</v>
      </c>
      <c r="P51">
        <f>SUMPRODUCT($A$2:$L$2,'Survey Encoding'!C52:N52)</f>
        <v>1.0311076931258887</v>
      </c>
      <c r="Q51">
        <f>SUMPRODUCT($A$2:$L$2,'Survey Encoding'!O52:Z52)</f>
        <v>1.3885885502977624</v>
      </c>
      <c r="R51">
        <f>SUMPRODUCT($A$2:$L$2,'Survey Encoding'!AA52:AL52)</f>
        <v>0.7637752520424238</v>
      </c>
      <c r="S51">
        <f>SUMPRODUCT($A$2:$L$2,'Survey Encoding'!AM52:AX52)</f>
        <v>-0.31352815855853916</v>
      </c>
      <c r="U51" s="11">
        <v>9</v>
      </c>
      <c r="V51" s="11">
        <v>2</v>
      </c>
      <c r="W51" s="1">
        <f t="shared" si="1"/>
        <v>2.8041702751355775</v>
      </c>
      <c r="X51" s="1">
        <f t="shared" si="2"/>
        <v>4.0091872913740838</v>
      </c>
      <c r="Y51" s="1">
        <f t="shared" si="3"/>
        <v>2.1463640092801262</v>
      </c>
      <c r="Z51" s="1">
        <f t="shared" si="4"/>
        <v>0.73086379864279061</v>
      </c>
      <c r="AB51" s="11">
        <v>9</v>
      </c>
      <c r="AC51" s="11">
        <v>2</v>
      </c>
      <c r="AD51">
        <f t="shared" si="5"/>
        <v>0.28937057636724789</v>
      </c>
      <c r="AE51">
        <f t="shared" si="6"/>
        <v>0.41371982563115672</v>
      </c>
      <c r="AF51">
        <f t="shared" si="8"/>
        <v>0.22148961351117596</v>
      </c>
      <c r="AG51">
        <f t="shared" si="8"/>
        <v>7.5419984490419451E-2</v>
      </c>
      <c r="AI51" s="11">
        <v>9</v>
      </c>
      <c r="AJ51" s="11">
        <v>2</v>
      </c>
      <c r="AK51">
        <f>SUMPRODUCT(AD51:AG51,'Coded Choice Data'!C51:F51)</f>
        <v>0.22148961351117596</v>
      </c>
      <c r="AL51">
        <f t="shared" si="7"/>
        <v>-1.5073795821937916</v>
      </c>
    </row>
    <row r="52" spans="14:38" x14ac:dyDescent="0.3">
      <c r="N52" s="11">
        <v>9</v>
      </c>
      <c r="O52" s="11">
        <v>3</v>
      </c>
      <c r="P52">
        <f>SUMPRODUCT($A$2:$L$2,'Survey Encoding'!C53:N53)</f>
        <v>0.15000228289066947</v>
      </c>
      <c r="Q52">
        <f>SUMPRODUCT($A$2:$L$2,'Survey Encoding'!O53:Z53)</f>
        <v>-0.5677340101284214</v>
      </c>
      <c r="R52">
        <f>SUMPRODUCT($A$2:$L$2,'Survey Encoding'!AA53:AL53)</f>
        <v>0.7637752520424238</v>
      </c>
      <c r="S52">
        <f>SUMPRODUCT($A$2:$L$2,'Survey Encoding'!AM53:AX53)</f>
        <v>-0.31352815855853916</v>
      </c>
      <c r="U52" s="11">
        <v>9</v>
      </c>
      <c r="V52" s="11">
        <v>3</v>
      </c>
      <c r="W52" s="1">
        <f t="shared" si="1"/>
        <v>1.1618368950718627</v>
      </c>
      <c r="X52" s="1">
        <f t="shared" si="2"/>
        <v>0.56680836661762923</v>
      </c>
      <c r="Y52" s="1">
        <f t="shared" si="3"/>
        <v>2.1463640092801262</v>
      </c>
      <c r="Z52" s="1">
        <f t="shared" si="4"/>
        <v>0.73086379864279061</v>
      </c>
      <c r="AB52" s="11">
        <v>9</v>
      </c>
      <c r="AC52" s="11">
        <v>3</v>
      </c>
      <c r="AD52">
        <f t="shared" si="5"/>
        <v>0.25225117529555219</v>
      </c>
      <c r="AE52">
        <f t="shared" si="6"/>
        <v>0.12306209008606635</v>
      </c>
      <c r="AF52">
        <f t="shared" si="8"/>
        <v>0.46600589656734631</v>
      </c>
      <c r="AG52">
        <f t="shared" si="8"/>
        <v>0.15868083805103511</v>
      </c>
      <c r="AI52" s="11">
        <v>9</v>
      </c>
      <c r="AJ52" s="11">
        <v>3</v>
      </c>
      <c r="AK52">
        <f>SUMPRODUCT(AD52:AG52,'Coded Choice Data'!C52:F52)</f>
        <v>0.46600589656734631</v>
      </c>
      <c r="AL52">
        <f t="shared" si="7"/>
        <v>-0.7635569913585506</v>
      </c>
    </row>
    <row r="53" spans="14:38" x14ac:dyDescent="0.3">
      <c r="N53" s="11">
        <v>9</v>
      </c>
      <c r="O53" s="11">
        <v>4</v>
      </c>
      <c r="P53">
        <f>SUMPRODUCT($A$2:$L$2,'Survey Encoding'!C54:N54)</f>
        <v>0.95180473721565084</v>
      </c>
      <c r="Q53">
        <f>SUMPRODUCT($A$2:$L$2,'Survey Encoding'!O54:Z54)</f>
        <v>1.0311076931258887</v>
      </c>
      <c r="R53">
        <f>SUMPRODUCT($A$2:$L$2,'Survey Encoding'!AA54:AL54)</f>
        <v>1.1267499129920266</v>
      </c>
      <c r="S53">
        <f>SUMPRODUCT($A$2:$L$2,'Survey Encoding'!AM54:AX54)</f>
        <v>-0.31352815855853916</v>
      </c>
      <c r="U53" s="11">
        <v>9</v>
      </c>
      <c r="V53" s="11">
        <v>4</v>
      </c>
      <c r="W53" s="1">
        <f t="shared" si="1"/>
        <v>2.5903803992282071</v>
      </c>
      <c r="X53" s="1">
        <f t="shared" si="2"/>
        <v>2.8041702751355775</v>
      </c>
      <c r="Y53" s="1">
        <f t="shared" si="3"/>
        <v>3.0856116792654009</v>
      </c>
      <c r="Z53" s="1">
        <f t="shared" si="4"/>
        <v>0.73086379864279061</v>
      </c>
      <c r="AB53" s="11">
        <v>9</v>
      </c>
      <c r="AC53" s="11">
        <v>4</v>
      </c>
      <c r="AD53">
        <f t="shared" si="5"/>
        <v>0.28122603892393339</v>
      </c>
      <c r="AE53">
        <f t="shared" si="6"/>
        <v>0.30443625159438997</v>
      </c>
      <c r="AF53">
        <f t="shared" si="8"/>
        <v>0.33499108875120381</v>
      </c>
      <c r="AG53">
        <f t="shared" si="8"/>
        <v>7.9346620730472786E-2</v>
      </c>
      <c r="AI53" s="11">
        <v>9</v>
      </c>
      <c r="AJ53" s="11">
        <v>4</v>
      </c>
      <c r="AK53">
        <f>SUMPRODUCT(AD53:AG53,'Coded Choice Data'!C53:F53)</f>
        <v>0.33499108875120381</v>
      </c>
      <c r="AL53">
        <f t="shared" si="7"/>
        <v>-1.0936513482535519</v>
      </c>
    </row>
    <row r="54" spans="14:38" x14ac:dyDescent="0.3">
      <c r="N54" s="11">
        <v>9</v>
      </c>
      <c r="O54" s="11">
        <v>5</v>
      </c>
      <c r="P54">
        <f>SUMPRODUCT($A$2:$L$2,'Survey Encoding'!C55:N55)</f>
        <v>1.3885885502977624</v>
      </c>
      <c r="Q54">
        <f>SUMPRODUCT($A$2:$L$2,'Survey Encoding'!O55:Z55)</f>
        <v>1.4106531441928372</v>
      </c>
      <c r="R54">
        <f>SUMPRODUCT($A$2:$L$2,'Survey Encoding'!AA55:AL55)</f>
        <v>1.1267499129920266</v>
      </c>
      <c r="S54">
        <f>SUMPRODUCT($A$2:$L$2,'Survey Encoding'!AM55:AX55)</f>
        <v>-0.31352815855853916</v>
      </c>
      <c r="U54" s="11">
        <v>9</v>
      </c>
      <c r="V54" s="11">
        <v>5</v>
      </c>
      <c r="W54" s="1">
        <f t="shared" si="1"/>
        <v>4.0091872913740838</v>
      </c>
      <c r="X54" s="1">
        <f t="shared" si="2"/>
        <v>4.0986315274095384</v>
      </c>
      <c r="Y54" s="1">
        <f t="shared" si="3"/>
        <v>3.0856116792654009</v>
      </c>
      <c r="Z54" s="1">
        <f t="shared" si="4"/>
        <v>0.73086379864279061</v>
      </c>
      <c r="AB54" s="11">
        <v>9</v>
      </c>
      <c r="AC54" s="11">
        <v>5</v>
      </c>
      <c r="AD54">
        <f t="shared" si="5"/>
        <v>0.33622008914073537</v>
      </c>
      <c r="AE54">
        <f t="shared" si="6"/>
        <v>0.34372109790569594</v>
      </c>
      <c r="AF54">
        <f t="shared" si="8"/>
        <v>0.25876681692781178</v>
      </c>
      <c r="AG54">
        <f t="shared" si="8"/>
        <v>6.1291996025756926E-2</v>
      </c>
      <c r="AI54" s="11">
        <v>9</v>
      </c>
      <c r="AJ54" s="11">
        <v>5</v>
      </c>
      <c r="AK54">
        <f>SUMPRODUCT(AD54:AG54,'Coded Choice Data'!C54:F54)</f>
        <v>0.25876681692781178</v>
      </c>
      <c r="AL54">
        <f t="shared" si="7"/>
        <v>-1.3518279435567824</v>
      </c>
    </row>
    <row r="55" spans="14:38" x14ac:dyDescent="0.3">
      <c r="N55" s="11">
        <v>9</v>
      </c>
      <c r="O55" s="11">
        <v>6</v>
      </c>
      <c r="P55">
        <f>SUMPRODUCT($A$2:$L$2,'Survey Encoding'!C56:N56)</f>
        <v>-1.1407000318204914</v>
      </c>
      <c r="Q55">
        <f>SUMPRODUCT($A$2:$L$2,'Survey Encoding'!O56:Z56)</f>
        <v>0.66877574618081503</v>
      </c>
      <c r="R55">
        <f>SUMPRODUCT($A$2:$L$2,'Survey Encoding'!AA56:AL56)</f>
        <v>0.15000228289066947</v>
      </c>
      <c r="S55">
        <f>SUMPRODUCT($A$2:$L$2,'Survey Encoding'!AM56:AX56)</f>
        <v>-0.31352815855853916</v>
      </c>
      <c r="U55" s="11">
        <v>9</v>
      </c>
      <c r="V55" s="11">
        <v>6</v>
      </c>
      <c r="W55" s="1">
        <f t="shared" si="1"/>
        <v>0.31959521666873603</v>
      </c>
      <c r="X55" s="1">
        <f t="shared" si="2"/>
        <v>1.9518463020380199</v>
      </c>
      <c r="Y55" s="1">
        <f t="shared" si="3"/>
        <v>1.1618368950718627</v>
      </c>
      <c r="Z55" s="1">
        <f t="shared" si="4"/>
        <v>0.73086379864279061</v>
      </c>
      <c r="AB55" s="11">
        <v>9</v>
      </c>
      <c r="AC55" s="11">
        <v>6</v>
      </c>
      <c r="AD55">
        <f t="shared" si="5"/>
        <v>7.6749352055124564E-2</v>
      </c>
      <c r="AE55">
        <f t="shared" si="6"/>
        <v>0.46872709971714432</v>
      </c>
      <c r="AF55">
        <f t="shared" si="8"/>
        <v>0.27900989827056494</v>
      </c>
      <c r="AG55">
        <f t="shared" si="8"/>
        <v>0.17551364995716615</v>
      </c>
      <c r="AI55" s="11">
        <v>9</v>
      </c>
      <c r="AJ55" s="11">
        <v>6</v>
      </c>
      <c r="AK55">
        <f>SUMPRODUCT(AD55:AG55,'Coded Choice Data'!C55:F55)</f>
        <v>0.46872709971714432</v>
      </c>
      <c r="AL55">
        <f t="shared" si="7"/>
        <v>-0.75773455682766766</v>
      </c>
    </row>
    <row r="56" spans="14:38" x14ac:dyDescent="0.3">
      <c r="N56" s="11">
        <v>10</v>
      </c>
      <c r="O56" s="11">
        <v>1</v>
      </c>
      <c r="P56">
        <f>SUMPRODUCT($A$2:$L$2,'Survey Encoding'!C57:N57)</f>
        <v>-0.5677340101284214</v>
      </c>
      <c r="Q56">
        <f>SUMPRODUCT($A$2:$L$2,'Survey Encoding'!O57:Z57)</f>
        <v>-0.45781983272127458</v>
      </c>
      <c r="R56">
        <f>SUMPRODUCT($A$2:$L$2,'Survey Encoding'!AA57:AL57)</f>
        <v>-1.1407000318204914</v>
      </c>
      <c r="S56">
        <f>SUMPRODUCT($A$2:$L$2,'Survey Encoding'!AM57:AX57)</f>
        <v>-0.31352815855853916</v>
      </c>
      <c r="U56" s="11">
        <v>10</v>
      </c>
      <c r="V56" s="11">
        <v>1</v>
      </c>
      <c r="W56" s="1">
        <f t="shared" si="1"/>
        <v>0.56680836661762923</v>
      </c>
      <c r="X56" s="1">
        <f t="shared" si="2"/>
        <v>0.63266145083175696</v>
      </c>
      <c r="Y56" s="1">
        <f t="shared" si="3"/>
        <v>0.31959521666873603</v>
      </c>
      <c r="Z56" s="1">
        <f t="shared" si="4"/>
        <v>0.73086379864279061</v>
      </c>
      <c r="AB56" s="11">
        <v>10</v>
      </c>
      <c r="AC56" s="11">
        <v>1</v>
      </c>
      <c r="AD56">
        <f t="shared" si="5"/>
        <v>0.25192279789671945</v>
      </c>
      <c r="AE56">
        <f t="shared" si="6"/>
        <v>0.28119176109913269</v>
      </c>
      <c r="AF56">
        <f t="shared" si="8"/>
        <v>0.14204681144361231</v>
      </c>
      <c r="AG56">
        <f t="shared" si="8"/>
        <v>0.32483862956053577</v>
      </c>
      <c r="AI56" s="11">
        <v>10</v>
      </c>
      <c r="AJ56" s="11">
        <v>1</v>
      </c>
      <c r="AK56">
        <f>SUMPRODUCT(AD56:AG56,'Coded Choice Data'!C56:F56)</f>
        <v>0.25192279789671945</v>
      </c>
      <c r="AL56">
        <f t="shared" si="7"/>
        <v>-1.3786325959604759</v>
      </c>
    </row>
    <row r="57" spans="14:38" x14ac:dyDescent="0.3">
      <c r="N57" s="11">
        <v>10</v>
      </c>
      <c r="O57" s="11">
        <v>2</v>
      </c>
      <c r="P57">
        <f>SUMPRODUCT($A$2:$L$2,'Survey Encoding'!C58:N58)</f>
        <v>1.0311076931258887</v>
      </c>
      <c r="Q57">
        <f>SUMPRODUCT($A$2:$L$2,'Survey Encoding'!O58:Z58)</f>
        <v>1.3885885502977624</v>
      </c>
      <c r="R57">
        <f>SUMPRODUCT($A$2:$L$2,'Survey Encoding'!AA58:AL58)</f>
        <v>0.7637752520424238</v>
      </c>
      <c r="S57">
        <f>SUMPRODUCT($A$2:$L$2,'Survey Encoding'!AM58:AX58)</f>
        <v>-0.31352815855853916</v>
      </c>
      <c r="U57" s="11">
        <v>10</v>
      </c>
      <c r="V57" s="11">
        <v>2</v>
      </c>
      <c r="W57" s="1">
        <f t="shared" si="1"/>
        <v>2.8041702751355775</v>
      </c>
      <c r="X57" s="1">
        <f t="shared" si="2"/>
        <v>4.0091872913740838</v>
      </c>
      <c r="Y57" s="1">
        <f t="shared" si="3"/>
        <v>2.1463640092801262</v>
      </c>
      <c r="Z57" s="1">
        <f t="shared" si="4"/>
        <v>0.73086379864279061</v>
      </c>
      <c r="AB57" s="11">
        <v>10</v>
      </c>
      <c r="AC57" s="11">
        <v>2</v>
      </c>
      <c r="AD57">
        <f t="shared" si="5"/>
        <v>0.28937057636724789</v>
      </c>
      <c r="AE57">
        <f t="shared" si="6"/>
        <v>0.41371982563115672</v>
      </c>
      <c r="AF57">
        <f t="shared" si="8"/>
        <v>0.22148961351117596</v>
      </c>
      <c r="AG57">
        <f t="shared" si="8"/>
        <v>7.5419984490419451E-2</v>
      </c>
      <c r="AI57" s="11">
        <v>10</v>
      </c>
      <c r="AJ57" s="11">
        <v>2</v>
      </c>
      <c r="AK57">
        <f>SUMPRODUCT(AD57:AG57,'Coded Choice Data'!C57:F57)</f>
        <v>0.28937057636724789</v>
      </c>
      <c r="AL57">
        <f t="shared" si="7"/>
        <v>-1.2400471411103269</v>
      </c>
    </row>
    <row r="58" spans="14:38" x14ac:dyDescent="0.3">
      <c r="N58" s="11">
        <v>10</v>
      </c>
      <c r="O58" s="11">
        <v>3</v>
      </c>
      <c r="P58">
        <f>SUMPRODUCT($A$2:$L$2,'Survey Encoding'!C59:N59)</f>
        <v>0.15000228289066947</v>
      </c>
      <c r="Q58">
        <f>SUMPRODUCT($A$2:$L$2,'Survey Encoding'!O59:Z59)</f>
        <v>-0.5677340101284214</v>
      </c>
      <c r="R58">
        <f>SUMPRODUCT($A$2:$L$2,'Survey Encoding'!AA59:AL59)</f>
        <v>0.7637752520424238</v>
      </c>
      <c r="S58">
        <f>SUMPRODUCT($A$2:$L$2,'Survey Encoding'!AM59:AX59)</f>
        <v>-0.31352815855853916</v>
      </c>
      <c r="U58" s="11">
        <v>10</v>
      </c>
      <c r="V58" s="11">
        <v>3</v>
      </c>
      <c r="W58" s="1">
        <f t="shared" si="1"/>
        <v>1.1618368950718627</v>
      </c>
      <c r="X58" s="1">
        <f t="shared" si="2"/>
        <v>0.56680836661762923</v>
      </c>
      <c r="Y58" s="1">
        <f t="shared" si="3"/>
        <v>2.1463640092801262</v>
      </c>
      <c r="Z58" s="1">
        <f t="shared" si="4"/>
        <v>0.73086379864279061</v>
      </c>
      <c r="AB58" s="11">
        <v>10</v>
      </c>
      <c r="AC58" s="11">
        <v>3</v>
      </c>
      <c r="AD58">
        <f t="shared" si="5"/>
        <v>0.25225117529555219</v>
      </c>
      <c r="AE58">
        <f t="shared" si="6"/>
        <v>0.12306209008606635</v>
      </c>
      <c r="AF58">
        <f t="shared" si="8"/>
        <v>0.46600589656734631</v>
      </c>
      <c r="AG58">
        <f t="shared" si="8"/>
        <v>0.15868083805103511</v>
      </c>
      <c r="AI58" s="11">
        <v>10</v>
      </c>
      <c r="AJ58" s="11">
        <v>3</v>
      </c>
      <c r="AK58">
        <f>SUMPRODUCT(AD58:AG58,'Coded Choice Data'!C58:F58)</f>
        <v>0.46600589656734631</v>
      </c>
      <c r="AL58">
        <f t="shared" si="7"/>
        <v>-0.7635569913585506</v>
      </c>
    </row>
    <row r="59" spans="14:38" x14ac:dyDescent="0.3">
      <c r="N59" s="11">
        <v>10</v>
      </c>
      <c r="O59" s="11">
        <v>4</v>
      </c>
      <c r="P59">
        <f>SUMPRODUCT($A$2:$L$2,'Survey Encoding'!C60:N60)</f>
        <v>0.95180473721565084</v>
      </c>
      <c r="Q59">
        <f>SUMPRODUCT($A$2:$L$2,'Survey Encoding'!O60:Z60)</f>
        <v>1.0311076931258887</v>
      </c>
      <c r="R59">
        <f>SUMPRODUCT($A$2:$L$2,'Survey Encoding'!AA60:AL60)</f>
        <v>1.1267499129920266</v>
      </c>
      <c r="S59">
        <f>SUMPRODUCT($A$2:$L$2,'Survey Encoding'!AM60:AX60)</f>
        <v>-0.31352815855853916</v>
      </c>
      <c r="U59" s="11">
        <v>10</v>
      </c>
      <c r="V59" s="11">
        <v>4</v>
      </c>
      <c r="W59" s="1">
        <f t="shared" si="1"/>
        <v>2.5903803992282071</v>
      </c>
      <c r="X59" s="1">
        <f t="shared" si="2"/>
        <v>2.8041702751355775</v>
      </c>
      <c r="Y59" s="1">
        <f t="shared" si="3"/>
        <v>3.0856116792654009</v>
      </c>
      <c r="Z59" s="1">
        <f t="shared" si="4"/>
        <v>0.73086379864279061</v>
      </c>
      <c r="AB59" s="11">
        <v>10</v>
      </c>
      <c r="AC59" s="11">
        <v>4</v>
      </c>
      <c r="AD59">
        <f t="shared" si="5"/>
        <v>0.28122603892393339</v>
      </c>
      <c r="AE59">
        <f t="shared" si="6"/>
        <v>0.30443625159438997</v>
      </c>
      <c r="AF59">
        <f t="shared" si="8"/>
        <v>0.33499108875120381</v>
      </c>
      <c r="AG59">
        <f t="shared" si="8"/>
        <v>7.9346620730472786E-2</v>
      </c>
      <c r="AI59" s="11">
        <v>10</v>
      </c>
      <c r="AJ59" s="11">
        <v>4</v>
      </c>
      <c r="AK59">
        <f>SUMPRODUCT(AD59:AG59,'Coded Choice Data'!C59:F59)</f>
        <v>0.30443625159438997</v>
      </c>
      <c r="AL59">
        <f t="shared" si="7"/>
        <v>-1.1892935681196899</v>
      </c>
    </row>
    <row r="60" spans="14:38" x14ac:dyDescent="0.3">
      <c r="N60" s="11">
        <v>10</v>
      </c>
      <c r="O60" s="11">
        <v>5</v>
      </c>
      <c r="P60">
        <f>SUMPRODUCT($A$2:$L$2,'Survey Encoding'!C61:N61)</f>
        <v>1.3885885502977624</v>
      </c>
      <c r="Q60">
        <f>SUMPRODUCT($A$2:$L$2,'Survey Encoding'!O61:Z61)</f>
        <v>1.4106531441928372</v>
      </c>
      <c r="R60">
        <f>SUMPRODUCT($A$2:$L$2,'Survey Encoding'!AA61:AL61)</f>
        <v>1.1267499129920266</v>
      </c>
      <c r="S60">
        <f>SUMPRODUCT($A$2:$L$2,'Survey Encoding'!AM61:AX61)</f>
        <v>-0.31352815855853916</v>
      </c>
      <c r="U60" s="11">
        <v>10</v>
      </c>
      <c r="V60" s="11">
        <v>5</v>
      </c>
      <c r="W60" s="1">
        <f t="shared" si="1"/>
        <v>4.0091872913740838</v>
      </c>
      <c r="X60" s="1">
        <f t="shared" si="2"/>
        <v>4.0986315274095384</v>
      </c>
      <c r="Y60" s="1">
        <f t="shared" si="3"/>
        <v>3.0856116792654009</v>
      </c>
      <c r="Z60" s="1">
        <f t="shared" si="4"/>
        <v>0.73086379864279061</v>
      </c>
      <c r="AB60" s="11">
        <v>10</v>
      </c>
      <c r="AC60" s="11">
        <v>5</v>
      </c>
      <c r="AD60">
        <f t="shared" si="5"/>
        <v>0.33622008914073537</v>
      </c>
      <c r="AE60">
        <f t="shared" si="6"/>
        <v>0.34372109790569594</v>
      </c>
      <c r="AF60">
        <f t="shared" si="8"/>
        <v>0.25876681692781178</v>
      </c>
      <c r="AG60">
        <f t="shared" si="8"/>
        <v>6.1291996025756926E-2</v>
      </c>
      <c r="AI60" s="11">
        <v>10</v>
      </c>
      <c r="AJ60" s="11">
        <v>5</v>
      </c>
      <c r="AK60">
        <f>SUMPRODUCT(AD60:AG60,'Coded Choice Data'!C60:F60)</f>
        <v>0.25876681692781178</v>
      </c>
      <c r="AL60">
        <f t="shared" si="7"/>
        <v>-1.3518279435567824</v>
      </c>
    </row>
    <row r="61" spans="14:38" x14ac:dyDescent="0.3">
      <c r="N61" s="11">
        <v>10</v>
      </c>
      <c r="O61" s="11">
        <v>6</v>
      </c>
      <c r="P61">
        <f>SUMPRODUCT($A$2:$L$2,'Survey Encoding'!C62:N62)</f>
        <v>-1.1407000318204914</v>
      </c>
      <c r="Q61">
        <f>SUMPRODUCT($A$2:$L$2,'Survey Encoding'!O62:Z62)</f>
        <v>0.66877574618081503</v>
      </c>
      <c r="R61">
        <f>SUMPRODUCT($A$2:$L$2,'Survey Encoding'!AA62:AL62)</f>
        <v>0.15000228289066947</v>
      </c>
      <c r="S61">
        <f>SUMPRODUCT($A$2:$L$2,'Survey Encoding'!AM62:AX62)</f>
        <v>-0.31352815855853916</v>
      </c>
      <c r="U61" s="11">
        <v>10</v>
      </c>
      <c r="V61" s="11">
        <v>6</v>
      </c>
      <c r="W61" s="1">
        <f t="shared" si="1"/>
        <v>0.31959521666873603</v>
      </c>
      <c r="X61" s="1">
        <f t="shared" si="2"/>
        <v>1.9518463020380199</v>
      </c>
      <c r="Y61" s="1">
        <f t="shared" si="3"/>
        <v>1.1618368950718627</v>
      </c>
      <c r="Z61" s="1">
        <f t="shared" si="4"/>
        <v>0.73086379864279061</v>
      </c>
      <c r="AB61" s="11">
        <v>10</v>
      </c>
      <c r="AC61" s="11">
        <v>6</v>
      </c>
      <c r="AD61">
        <f t="shared" si="5"/>
        <v>7.6749352055124564E-2</v>
      </c>
      <c r="AE61">
        <f t="shared" si="6"/>
        <v>0.46872709971714432</v>
      </c>
      <c r="AF61">
        <f t="shared" si="8"/>
        <v>0.27900989827056494</v>
      </c>
      <c r="AG61">
        <f t="shared" si="8"/>
        <v>0.17551364995716615</v>
      </c>
      <c r="AI61" s="11">
        <v>10</v>
      </c>
      <c r="AJ61" s="11">
        <v>6</v>
      </c>
      <c r="AK61">
        <f>SUMPRODUCT(AD61:AG61,'Coded Choice Data'!C61:F61)</f>
        <v>0.17551364995716615</v>
      </c>
      <c r="AL61">
        <f t="shared" si="7"/>
        <v>-1.7400384615670219</v>
      </c>
    </row>
    <row r="62" spans="14:38" x14ac:dyDescent="0.3">
      <c r="N62" s="11">
        <v>11</v>
      </c>
      <c r="O62" s="11">
        <v>1</v>
      </c>
      <c r="P62">
        <f>SUMPRODUCT($A$2:$L$2,'Survey Encoding'!C63:N63)</f>
        <v>-0.5677340101284214</v>
      </c>
      <c r="Q62">
        <f>SUMPRODUCT($A$2:$L$2,'Survey Encoding'!O63:Z63)</f>
        <v>-0.45781983272127458</v>
      </c>
      <c r="R62">
        <f>SUMPRODUCT($A$2:$L$2,'Survey Encoding'!AA63:AL63)</f>
        <v>-1.1407000318204914</v>
      </c>
      <c r="S62">
        <f>SUMPRODUCT($A$2:$L$2,'Survey Encoding'!AM63:AX63)</f>
        <v>-0.31352815855853916</v>
      </c>
      <c r="U62" s="11">
        <v>11</v>
      </c>
      <c r="V62" s="11">
        <v>1</v>
      </c>
      <c r="W62" s="1">
        <f t="shared" si="1"/>
        <v>0.56680836661762923</v>
      </c>
      <c r="X62" s="1">
        <f t="shared" si="2"/>
        <v>0.63266145083175696</v>
      </c>
      <c r="Y62" s="1">
        <f t="shared" si="3"/>
        <v>0.31959521666873603</v>
      </c>
      <c r="Z62" s="1">
        <f t="shared" si="4"/>
        <v>0.73086379864279061</v>
      </c>
      <c r="AB62" s="11">
        <v>11</v>
      </c>
      <c r="AC62" s="11">
        <v>1</v>
      </c>
      <c r="AD62">
        <f t="shared" si="5"/>
        <v>0.25192279789671945</v>
      </c>
      <c r="AE62">
        <f t="shared" si="6"/>
        <v>0.28119176109913269</v>
      </c>
      <c r="AF62">
        <f t="shared" si="8"/>
        <v>0.14204681144361231</v>
      </c>
      <c r="AG62">
        <f t="shared" si="8"/>
        <v>0.32483862956053577</v>
      </c>
      <c r="AI62" s="11">
        <v>11</v>
      </c>
      <c r="AJ62" s="11">
        <v>1</v>
      </c>
      <c r="AK62">
        <f>SUMPRODUCT(AD62:AG62,'Coded Choice Data'!C62:F62)</f>
        <v>0.32483862956053577</v>
      </c>
      <c r="AL62">
        <f t="shared" si="7"/>
        <v>-1.1244267443905935</v>
      </c>
    </row>
    <row r="63" spans="14:38" x14ac:dyDescent="0.3">
      <c r="N63" s="11">
        <v>11</v>
      </c>
      <c r="O63" s="11">
        <v>2</v>
      </c>
      <c r="P63">
        <f>SUMPRODUCT($A$2:$L$2,'Survey Encoding'!C64:N64)</f>
        <v>1.0311076931258887</v>
      </c>
      <c r="Q63">
        <f>SUMPRODUCT($A$2:$L$2,'Survey Encoding'!O64:Z64)</f>
        <v>1.3885885502977624</v>
      </c>
      <c r="R63">
        <f>SUMPRODUCT($A$2:$L$2,'Survey Encoding'!AA64:AL64)</f>
        <v>0.7637752520424238</v>
      </c>
      <c r="S63">
        <f>SUMPRODUCT($A$2:$L$2,'Survey Encoding'!AM64:AX64)</f>
        <v>-0.31352815855853916</v>
      </c>
      <c r="U63" s="11">
        <v>11</v>
      </c>
      <c r="V63" s="11">
        <v>2</v>
      </c>
      <c r="W63" s="1">
        <f t="shared" si="1"/>
        <v>2.8041702751355775</v>
      </c>
      <c r="X63" s="1">
        <f t="shared" si="2"/>
        <v>4.0091872913740838</v>
      </c>
      <c r="Y63" s="1">
        <f t="shared" si="3"/>
        <v>2.1463640092801262</v>
      </c>
      <c r="Z63" s="1">
        <f t="shared" si="4"/>
        <v>0.73086379864279061</v>
      </c>
      <c r="AB63" s="11">
        <v>11</v>
      </c>
      <c r="AC63" s="11">
        <v>2</v>
      </c>
      <c r="AD63">
        <f t="shared" si="5"/>
        <v>0.28937057636724789</v>
      </c>
      <c r="AE63">
        <f t="shared" si="6"/>
        <v>0.41371982563115672</v>
      </c>
      <c r="AF63">
        <f t="shared" si="8"/>
        <v>0.22148961351117596</v>
      </c>
      <c r="AG63">
        <f t="shared" si="8"/>
        <v>7.5419984490419451E-2</v>
      </c>
      <c r="AI63" s="11">
        <v>11</v>
      </c>
      <c r="AJ63" s="11">
        <v>2</v>
      </c>
      <c r="AK63">
        <f>SUMPRODUCT(AD63:AG63,'Coded Choice Data'!C63:F63)</f>
        <v>0.41371982563115672</v>
      </c>
      <c r="AL63">
        <f t="shared" si="7"/>
        <v>-0.88256628393845316</v>
      </c>
    </row>
    <row r="64" spans="14:38" x14ac:dyDescent="0.3">
      <c r="N64" s="11">
        <v>11</v>
      </c>
      <c r="O64" s="11">
        <v>3</v>
      </c>
      <c r="P64">
        <f>SUMPRODUCT($A$2:$L$2,'Survey Encoding'!C65:N65)</f>
        <v>0.15000228289066947</v>
      </c>
      <c r="Q64">
        <f>SUMPRODUCT($A$2:$L$2,'Survey Encoding'!O65:Z65)</f>
        <v>-0.5677340101284214</v>
      </c>
      <c r="R64">
        <f>SUMPRODUCT($A$2:$L$2,'Survey Encoding'!AA65:AL65)</f>
        <v>0.7637752520424238</v>
      </c>
      <c r="S64">
        <f>SUMPRODUCT($A$2:$L$2,'Survey Encoding'!AM65:AX65)</f>
        <v>-0.31352815855853916</v>
      </c>
      <c r="U64" s="11">
        <v>11</v>
      </c>
      <c r="V64" s="11">
        <v>3</v>
      </c>
      <c r="W64" s="1">
        <f t="shared" si="1"/>
        <v>1.1618368950718627</v>
      </c>
      <c r="X64" s="1">
        <f t="shared" si="2"/>
        <v>0.56680836661762923</v>
      </c>
      <c r="Y64" s="1">
        <f t="shared" si="3"/>
        <v>2.1463640092801262</v>
      </c>
      <c r="Z64" s="1">
        <f t="shared" si="4"/>
        <v>0.73086379864279061</v>
      </c>
      <c r="AB64" s="11">
        <v>11</v>
      </c>
      <c r="AC64" s="11">
        <v>3</v>
      </c>
      <c r="AD64">
        <f t="shared" si="5"/>
        <v>0.25225117529555219</v>
      </c>
      <c r="AE64">
        <f t="shared" si="6"/>
        <v>0.12306209008606635</v>
      </c>
      <c r="AF64">
        <f t="shared" si="8"/>
        <v>0.46600589656734631</v>
      </c>
      <c r="AG64">
        <f t="shared" si="8"/>
        <v>0.15868083805103511</v>
      </c>
      <c r="AI64" s="11">
        <v>11</v>
      </c>
      <c r="AJ64" s="11">
        <v>3</v>
      </c>
      <c r="AK64">
        <f>SUMPRODUCT(AD64:AG64,'Coded Choice Data'!C64:F64)</f>
        <v>0.25225117529555219</v>
      </c>
      <c r="AL64">
        <f t="shared" si="7"/>
        <v>-1.3773299605103049</v>
      </c>
    </row>
    <row r="65" spans="14:38" x14ac:dyDescent="0.3">
      <c r="N65" s="11">
        <v>11</v>
      </c>
      <c r="O65" s="11">
        <v>4</v>
      </c>
      <c r="P65">
        <f>SUMPRODUCT($A$2:$L$2,'Survey Encoding'!C66:N66)</f>
        <v>0.95180473721565084</v>
      </c>
      <c r="Q65">
        <f>SUMPRODUCT($A$2:$L$2,'Survey Encoding'!O66:Z66)</f>
        <v>1.0311076931258887</v>
      </c>
      <c r="R65">
        <f>SUMPRODUCT($A$2:$L$2,'Survey Encoding'!AA66:AL66)</f>
        <v>1.1267499129920266</v>
      </c>
      <c r="S65">
        <f>SUMPRODUCT($A$2:$L$2,'Survey Encoding'!AM66:AX66)</f>
        <v>-0.31352815855853916</v>
      </c>
      <c r="U65" s="11">
        <v>11</v>
      </c>
      <c r="V65" s="11">
        <v>4</v>
      </c>
      <c r="W65" s="1">
        <f t="shared" si="1"/>
        <v>2.5903803992282071</v>
      </c>
      <c r="X65" s="1">
        <f t="shared" si="2"/>
        <v>2.8041702751355775</v>
      </c>
      <c r="Y65" s="1">
        <f t="shared" si="3"/>
        <v>3.0856116792654009</v>
      </c>
      <c r="Z65" s="1">
        <f t="shared" si="4"/>
        <v>0.73086379864279061</v>
      </c>
      <c r="AB65" s="11">
        <v>11</v>
      </c>
      <c r="AC65" s="11">
        <v>4</v>
      </c>
      <c r="AD65">
        <f t="shared" si="5"/>
        <v>0.28122603892393339</v>
      </c>
      <c r="AE65">
        <f t="shared" si="6"/>
        <v>0.30443625159438997</v>
      </c>
      <c r="AF65">
        <f t="shared" si="8"/>
        <v>0.33499108875120381</v>
      </c>
      <c r="AG65">
        <f t="shared" si="8"/>
        <v>7.9346620730472786E-2</v>
      </c>
      <c r="AI65" s="11">
        <v>11</v>
      </c>
      <c r="AJ65" s="11">
        <v>4</v>
      </c>
      <c r="AK65">
        <f>SUMPRODUCT(AD65:AG65,'Coded Choice Data'!C65:F65)</f>
        <v>0.30443625159438997</v>
      </c>
      <c r="AL65">
        <f t="shared" si="7"/>
        <v>-1.1892935681196899</v>
      </c>
    </row>
    <row r="66" spans="14:38" x14ac:dyDescent="0.3">
      <c r="N66" s="11">
        <v>11</v>
      </c>
      <c r="O66" s="11">
        <v>5</v>
      </c>
      <c r="P66">
        <f>SUMPRODUCT($A$2:$L$2,'Survey Encoding'!C67:N67)</f>
        <v>1.3885885502977624</v>
      </c>
      <c r="Q66">
        <f>SUMPRODUCT($A$2:$L$2,'Survey Encoding'!O67:Z67)</f>
        <v>1.4106531441928372</v>
      </c>
      <c r="R66">
        <f>SUMPRODUCT($A$2:$L$2,'Survey Encoding'!AA67:AL67)</f>
        <v>1.1267499129920266</v>
      </c>
      <c r="S66">
        <f>SUMPRODUCT($A$2:$L$2,'Survey Encoding'!AM67:AX67)</f>
        <v>-0.31352815855853916</v>
      </c>
      <c r="U66" s="11">
        <v>11</v>
      </c>
      <c r="V66" s="11">
        <v>5</v>
      </c>
      <c r="W66" s="1">
        <f t="shared" si="1"/>
        <v>4.0091872913740838</v>
      </c>
      <c r="X66" s="1">
        <f t="shared" si="2"/>
        <v>4.0986315274095384</v>
      </c>
      <c r="Y66" s="1">
        <f t="shared" si="3"/>
        <v>3.0856116792654009</v>
      </c>
      <c r="Z66" s="1">
        <f t="shared" si="4"/>
        <v>0.73086379864279061</v>
      </c>
      <c r="AB66" s="11">
        <v>11</v>
      </c>
      <c r="AC66" s="11">
        <v>5</v>
      </c>
      <c r="AD66">
        <f t="shared" si="5"/>
        <v>0.33622008914073537</v>
      </c>
      <c r="AE66">
        <f t="shared" si="6"/>
        <v>0.34372109790569594</v>
      </c>
      <c r="AF66">
        <f t="shared" si="8"/>
        <v>0.25876681692781178</v>
      </c>
      <c r="AG66">
        <f t="shared" si="8"/>
        <v>6.1291996025756926E-2</v>
      </c>
      <c r="AI66" s="11">
        <v>11</v>
      </c>
      <c r="AJ66" s="11">
        <v>5</v>
      </c>
      <c r="AK66">
        <f>SUMPRODUCT(AD66:AG66,'Coded Choice Data'!C66:F66)</f>
        <v>0.33622008914073537</v>
      </c>
      <c r="AL66">
        <f t="shared" si="7"/>
        <v>-1.0899893062510464</v>
      </c>
    </row>
    <row r="67" spans="14:38" x14ac:dyDescent="0.3">
      <c r="N67" s="11">
        <v>11</v>
      </c>
      <c r="O67" s="11">
        <v>6</v>
      </c>
      <c r="P67">
        <f>SUMPRODUCT($A$2:$L$2,'Survey Encoding'!C68:N68)</f>
        <v>-1.1407000318204914</v>
      </c>
      <c r="Q67">
        <f>SUMPRODUCT($A$2:$L$2,'Survey Encoding'!O68:Z68)</f>
        <v>0.66877574618081503</v>
      </c>
      <c r="R67">
        <f>SUMPRODUCT($A$2:$L$2,'Survey Encoding'!AA68:AL68)</f>
        <v>0.15000228289066947</v>
      </c>
      <c r="S67">
        <f>SUMPRODUCT($A$2:$L$2,'Survey Encoding'!AM68:AX68)</f>
        <v>-0.31352815855853916</v>
      </c>
      <c r="U67" s="11">
        <v>11</v>
      </c>
      <c r="V67" s="11">
        <v>6</v>
      </c>
      <c r="W67" s="1">
        <f t="shared" ref="W67:W130" si="9">EXP(P67)</f>
        <v>0.31959521666873603</v>
      </c>
      <c r="X67" s="1">
        <f t="shared" ref="X67:X130" si="10">EXP(Q67)</f>
        <v>1.9518463020380199</v>
      </c>
      <c r="Y67" s="1">
        <f t="shared" ref="Y67:Y130" si="11">EXP(R67)</f>
        <v>1.1618368950718627</v>
      </c>
      <c r="Z67" s="1">
        <f t="shared" ref="Z67:Z130" si="12">EXP(S67)</f>
        <v>0.73086379864279061</v>
      </c>
      <c r="AB67" s="11">
        <v>11</v>
      </c>
      <c r="AC67" s="11">
        <v>6</v>
      </c>
      <c r="AD67">
        <f t="shared" ref="AD67:AD130" si="13">W67/SUM($W67:$Z67)</f>
        <v>7.6749352055124564E-2</v>
      </c>
      <c r="AE67">
        <f t="shared" ref="AE67:AE130" si="14">X67/SUM($W67:$Z67)</f>
        <v>0.46872709971714432</v>
      </c>
      <c r="AF67">
        <f t="shared" si="8"/>
        <v>0.27900989827056494</v>
      </c>
      <c r="AG67">
        <f t="shared" si="8"/>
        <v>0.17551364995716615</v>
      </c>
      <c r="AI67" s="11">
        <v>11</v>
      </c>
      <c r="AJ67" s="11">
        <v>6</v>
      </c>
      <c r="AK67">
        <f>SUMPRODUCT(AD67:AG67,'Coded Choice Data'!C67:F67)</f>
        <v>0.46872709971714432</v>
      </c>
      <c r="AL67">
        <f t="shared" ref="AL67:AL130" si="15">LN(AK67)</f>
        <v>-0.75773455682766766</v>
      </c>
    </row>
    <row r="68" spans="14:38" x14ac:dyDescent="0.3">
      <c r="N68" s="11">
        <v>12</v>
      </c>
      <c r="O68" s="11">
        <v>1</v>
      </c>
      <c r="P68">
        <f>SUMPRODUCT($A$2:$L$2,'Survey Encoding'!C69:N69)</f>
        <v>-0.5677340101284214</v>
      </c>
      <c r="Q68">
        <f>SUMPRODUCT($A$2:$L$2,'Survey Encoding'!O69:Z69)</f>
        <v>-0.45781983272127458</v>
      </c>
      <c r="R68">
        <f>SUMPRODUCT($A$2:$L$2,'Survey Encoding'!AA69:AL69)</f>
        <v>-1.1407000318204914</v>
      </c>
      <c r="S68">
        <f>SUMPRODUCT($A$2:$L$2,'Survey Encoding'!AM69:AX69)</f>
        <v>-0.31352815855853916</v>
      </c>
      <c r="U68" s="11">
        <v>12</v>
      </c>
      <c r="V68" s="11">
        <v>1</v>
      </c>
      <c r="W68" s="1">
        <f t="shared" si="9"/>
        <v>0.56680836661762923</v>
      </c>
      <c r="X68" s="1">
        <f t="shared" si="10"/>
        <v>0.63266145083175696</v>
      </c>
      <c r="Y68" s="1">
        <f t="shared" si="11"/>
        <v>0.31959521666873603</v>
      </c>
      <c r="Z68" s="1">
        <f t="shared" si="12"/>
        <v>0.73086379864279061</v>
      </c>
      <c r="AB68" s="11">
        <v>12</v>
      </c>
      <c r="AC68" s="11">
        <v>1</v>
      </c>
      <c r="AD68">
        <f t="shared" si="13"/>
        <v>0.25192279789671945</v>
      </c>
      <c r="AE68">
        <f t="shared" si="14"/>
        <v>0.28119176109913269</v>
      </c>
      <c r="AF68">
        <f t="shared" si="8"/>
        <v>0.14204681144361231</v>
      </c>
      <c r="AG68">
        <f t="shared" si="8"/>
        <v>0.32483862956053577</v>
      </c>
      <c r="AI68" s="11">
        <v>12</v>
      </c>
      <c r="AJ68" s="11">
        <v>1</v>
      </c>
      <c r="AK68">
        <f>SUMPRODUCT(AD68:AG68,'Coded Choice Data'!C68:F68)</f>
        <v>0.28119176109913269</v>
      </c>
      <c r="AL68">
        <f t="shared" si="15"/>
        <v>-1.2687184185533291</v>
      </c>
    </row>
    <row r="69" spans="14:38" x14ac:dyDescent="0.3">
      <c r="N69" s="11">
        <v>12</v>
      </c>
      <c r="O69" s="11">
        <v>2</v>
      </c>
      <c r="P69">
        <f>SUMPRODUCT($A$2:$L$2,'Survey Encoding'!C70:N70)</f>
        <v>1.0311076931258887</v>
      </c>
      <c r="Q69">
        <f>SUMPRODUCT($A$2:$L$2,'Survey Encoding'!O70:Z70)</f>
        <v>1.3885885502977624</v>
      </c>
      <c r="R69">
        <f>SUMPRODUCT($A$2:$L$2,'Survey Encoding'!AA70:AL70)</f>
        <v>0.7637752520424238</v>
      </c>
      <c r="S69">
        <f>SUMPRODUCT($A$2:$L$2,'Survey Encoding'!AM70:AX70)</f>
        <v>-0.31352815855853916</v>
      </c>
      <c r="U69" s="11">
        <v>12</v>
      </c>
      <c r="V69" s="11">
        <v>2</v>
      </c>
      <c r="W69" s="1">
        <f t="shared" si="9"/>
        <v>2.8041702751355775</v>
      </c>
      <c r="X69" s="1">
        <f t="shared" si="10"/>
        <v>4.0091872913740838</v>
      </c>
      <c r="Y69" s="1">
        <f t="shared" si="11"/>
        <v>2.1463640092801262</v>
      </c>
      <c r="Z69" s="1">
        <f t="shared" si="12"/>
        <v>0.73086379864279061</v>
      </c>
      <c r="AB69" s="11">
        <v>12</v>
      </c>
      <c r="AC69" s="11">
        <v>2</v>
      </c>
      <c r="AD69">
        <f t="shared" si="13"/>
        <v>0.28937057636724789</v>
      </c>
      <c r="AE69">
        <f t="shared" si="14"/>
        <v>0.41371982563115672</v>
      </c>
      <c r="AF69">
        <f t="shared" si="8"/>
        <v>0.22148961351117596</v>
      </c>
      <c r="AG69">
        <f t="shared" si="8"/>
        <v>7.5419984490419451E-2</v>
      </c>
      <c r="AI69" s="11">
        <v>12</v>
      </c>
      <c r="AJ69" s="11">
        <v>2</v>
      </c>
      <c r="AK69">
        <f>SUMPRODUCT(AD69:AG69,'Coded Choice Data'!C69:F69)</f>
        <v>0.41371982563115672</v>
      </c>
      <c r="AL69">
        <f t="shared" si="15"/>
        <v>-0.88256628393845316</v>
      </c>
    </row>
    <row r="70" spans="14:38" x14ac:dyDescent="0.3">
      <c r="N70" s="11">
        <v>12</v>
      </c>
      <c r="O70" s="11">
        <v>3</v>
      </c>
      <c r="P70">
        <f>SUMPRODUCT($A$2:$L$2,'Survey Encoding'!C71:N71)</f>
        <v>0.15000228289066947</v>
      </c>
      <c r="Q70">
        <f>SUMPRODUCT($A$2:$L$2,'Survey Encoding'!O71:Z71)</f>
        <v>-0.5677340101284214</v>
      </c>
      <c r="R70">
        <f>SUMPRODUCT($A$2:$L$2,'Survey Encoding'!AA71:AL71)</f>
        <v>0.7637752520424238</v>
      </c>
      <c r="S70">
        <f>SUMPRODUCT($A$2:$L$2,'Survey Encoding'!AM71:AX71)</f>
        <v>-0.31352815855853916</v>
      </c>
      <c r="U70" s="11">
        <v>12</v>
      </c>
      <c r="V70" s="11">
        <v>3</v>
      </c>
      <c r="W70" s="1">
        <f t="shared" si="9"/>
        <v>1.1618368950718627</v>
      </c>
      <c r="X70" s="1">
        <f t="shared" si="10"/>
        <v>0.56680836661762923</v>
      </c>
      <c r="Y70" s="1">
        <f t="shared" si="11"/>
        <v>2.1463640092801262</v>
      </c>
      <c r="Z70" s="1">
        <f t="shared" si="12"/>
        <v>0.73086379864279061</v>
      </c>
      <c r="AB70" s="11">
        <v>12</v>
      </c>
      <c r="AC70" s="11">
        <v>3</v>
      </c>
      <c r="AD70">
        <f t="shared" si="13"/>
        <v>0.25225117529555219</v>
      </c>
      <c r="AE70">
        <f t="shared" si="14"/>
        <v>0.12306209008606635</v>
      </c>
      <c r="AF70">
        <f t="shared" si="8"/>
        <v>0.46600589656734631</v>
      </c>
      <c r="AG70">
        <f t="shared" si="8"/>
        <v>0.15868083805103511</v>
      </c>
      <c r="AI70" s="11">
        <v>12</v>
      </c>
      <c r="AJ70" s="11">
        <v>3</v>
      </c>
      <c r="AK70">
        <f>SUMPRODUCT(AD70:AG70,'Coded Choice Data'!C70:F70)</f>
        <v>0.46600589656734631</v>
      </c>
      <c r="AL70">
        <f t="shared" si="15"/>
        <v>-0.7635569913585506</v>
      </c>
    </row>
    <row r="71" spans="14:38" x14ac:dyDescent="0.3">
      <c r="N71" s="11">
        <v>12</v>
      </c>
      <c r="O71" s="11">
        <v>4</v>
      </c>
      <c r="P71">
        <f>SUMPRODUCT($A$2:$L$2,'Survey Encoding'!C72:N72)</f>
        <v>0.95180473721565084</v>
      </c>
      <c r="Q71">
        <f>SUMPRODUCT($A$2:$L$2,'Survey Encoding'!O72:Z72)</f>
        <v>1.0311076931258887</v>
      </c>
      <c r="R71">
        <f>SUMPRODUCT($A$2:$L$2,'Survey Encoding'!AA72:AL72)</f>
        <v>1.1267499129920266</v>
      </c>
      <c r="S71">
        <f>SUMPRODUCT($A$2:$L$2,'Survey Encoding'!AM72:AX72)</f>
        <v>-0.31352815855853916</v>
      </c>
      <c r="U71" s="11">
        <v>12</v>
      </c>
      <c r="V71" s="11">
        <v>4</v>
      </c>
      <c r="W71" s="1">
        <f t="shared" si="9"/>
        <v>2.5903803992282071</v>
      </c>
      <c r="X71" s="1">
        <f t="shared" si="10"/>
        <v>2.8041702751355775</v>
      </c>
      <c r="Y71" s="1">
        <f t="shared" si="11"/>
        <v>3.0856116792654009</v>
      </c>
      <c r="Z71" s="1">
        <f t="shared" si="12"/>
        <v>0.73086379864279061</v>
      </c>
      <c r="AB71" s="11">
        <v>12</v>
      </c>
      <c r="AC71" s="11">
        <v>4</v>
      </c>
      <c r="AD71">
        <f t="shared" si="13"/>
        <v>0.28122603892393339</v>
      </c>
      <c r="AE71">
        <f t="shared" si="14"/>
        <v>0.30443625159438997</v>
      </c>
      <c r="AF71">
        <f t="shared" si="8"/>
        <v>0.33499108875120381</v>
      </c>
      <c r="AG71">
        <f t="shared" si="8"/>
        <v>7.9346620730472786E-2</v>
      </c>
      <c r="AI71" s="11">
        <v>12</v>
      </c>
      <c r="AJ71" s="11">
        <v>4</v>
      </c>
      <c r="AK71">
        <f>SUMPRODUCT(AD71:AG71,'Coded Choice Data'!C71:F71)</f>
        <v>0.28122603892393339</v>
      </c>
      <c r="AL71">
        <f t="shared" si="15"/>
        <v>-1.2685965240299277</v>
      </c>
    </row>
    <row r="72" spans="14:38" x14ac:dyDescent="0.3">
      <c r="N72" s="11">
        <v>12</v>
      </c>
      <c r="O72" s="11">
        <v>5</v>
      </c>
      <c r="P72">
        <f>SUMPRODUCT($A$2:$L$2,'Survey Encoding'!C73:N73)</f>
        <v>1.3885885502977624</v>
      </c>
      <c r="Q72">
        <f>SUMPRODUCT($A$2:$L$2,'Survey Encoding'!O73:Z73)</f>
        <v>1.4106531441928372</v>
      </c>
      <c r="R72">
        <f>SUMPRODUCT($A$2:$L$2,'Survey Encoding'!AA73:AL73)</f>
        <v>1.1267499129920266</v>
      </c>
      <c r="S72">
        <f>SUMPRODUCT($A$2:$L$2,'Survey Encoding'!AM73:AX73)</f>
        <v>-0.31352815855853916</v>
      </c>
      <c r="U72" s="11">
        <v>12</v>
      </c>
      <c r="V72" s="11">
        <v>5</v>
      </c>
      <c r="W72" s="1">
        <f t="shared" si="9"/>
        <v>4.0091872913740838</v>
      </c>
      <c r="X72" s="1">
        <f t="shared" si="10"/>
        <v>4.0986315274095384</v>
      </c>
      <c r="Y72" s="1">
        <f t="shared" si="11"/>
        <v>3.0856116792654009</v>
      </c>
      <c r="Z72" s="1">
        <f t="shared" si="12"/>
        <v>0.73086379864279061</v>
      </c>
      <c r="AB72" s="11">
        <v>12</v>
      </c>
      <c r="AC72" s="11">
        <v>5</v>
      </c>
      <c r="AD72">
        <f t="shared" si="13"/>
        <v>0.33622008914073537</v>
      </c>
      <c r="AE72">
        <f t="shared" si="14"/>
        <v>0.34372109790569594</v>
      </c>
      <c r="AF72">
        <f t="shared" si="8"/>
        <v>0.25876681692781178</v>
      </c>
      <c r="AG72">
        <f t="shared" si="8"/>
        <v>6.1291996025756926E-2</v>
      </c>
      <c r="AI72" s="11">
        <v>12</v>
      </c>
      <c r="AJ72" s="11">
        <v>5</v>
      </c>
      <c r="AK72">
        <f>SUMPRODUCT(AD72:AG72,'Coded Choice Data'!C72:F72)</f>
        <v>0.25876681692781178</v>
      </c>
      <c r="AL72">
        <f t="shared" si="15"/>
        <v>-1.3518279435567824</v>
      </c>
    </row>
    <row r="73" spans="14:38" x14ac:dyDescent="0.3">
      <c r="N73" s="11">
        <v>12</v>
      </c>
      <c r="O73" s="11">
        <v>6</v>
      </c>
      <c r="P73">
        <f>SUMPRODUCT($A$2:$L$2,'Survey Encoding'!C74:N74)</f>
        <v>-1.1407000318204914</v>
      </c>
      <c r="Q73">
        <f>SUMPRODUCT($A$2:$L$2,'Survey Encoding'!O74:Z74)</f>
        <v>0.66877574618081503</v>
      </c>
      <c r="R73">
        <f>SUMPRODUCT($A$2:$L$2,'Survey Encoding'!AA74:AL74)</f>
        <v>0.15000228289066947</v>
      </c>
      <c r="S73">
        <f>SUMPRODUCT($A$2:$L$2,'Survey Encoding'!AM74:AX74)</f>
        <v>-0.31352815855853916</v>
      </c>
      <c r="U73" s="11">
        <v>12</v>
      </c>
      <c r="V73" s="11">
        <v>6</v>
      </c>
      <c r="W73" s="1">
        <f t="shared" si="9"/>
        <v>0.31959521666873603</v>
      </c>
      <c r="X73" s="1">
        <f t="shared" si="10"/>
        <v>1.9518463020380199</v>
      </c>
      <c r="Y73" s="1">
        <f t="shared" si="11"/>
        <v>1.1618368950718627</v>
      </c>
      <c r="Z73" s="1">
        <f t="shared" si="12"/>
        <v>0.73086379864279061</v>
      </c>
      <c r="AB73" s="11">
        <v>12</v>
      </c>
      <c r="AC73" s="11">
        <v>6</v>
      </c>
      <c r="AD73">
        <f t="shared" si="13"/>
        <v>7.6749352055124564E-2</v>
      </c>
      <c r="AE73">
        <f t="shared" si="14"/>
        <v>0.46872709971714432</v>
      </c>
      <c r="AF73">
        <f t="shared" si="8"/>
        <v>0.27900989827056494</v>
      </c>
      <c r="AG73">
        <f t="shared" si="8"/>
        <v>0.17551364995716615</v>
      </c>
      <c r="AI73" s="11">
        <v>12</v>
      </c>
      <c r="AJ73" s="11">
        <v>6</v>
      </c>
      <c r="AK73">
        <f>SUMPRODUCT(AD73:AG73,'Coded Choice Data'!C73:F73)</f>
        <v>0.46872709971714432</v>
      </c>
      <c r="AL73">
        <f t="shared" si="15"/>
        <v>-0.75773455682766766</v>
      </c>
    </row>
    <row r="74" spans="14:38" x14ac:dyDescent="0.3">
      <c r="N74" s="11">
        <v>13</v>
      </c>
      <c r="O74" s="11">
        <v>1</v>
      </c>
      <c r="P74">
        <f>SUMPRODUCT($A$2:$L$2,'Survey Encoding'!C75:N75)</f>
        <v>-0.5677340101284214</v>
      </c>
      <c r="Q74">
        <f>SUMPRODUCT($A$2:$L$2,'Survey Encoding'!O75:Z75)</f>
        <v>-0.45781983272127458</v>
      </c>
      <c r="R74">
        <f>SUMPRODUCT($A$2:$L$2,'Survey Encoding'!AA75:AL75)</f>
        <v>-1.1407000318204914</v>
      </c>
      <c r="S74">
        <f>SUMPRODUCT($A$2:$L$2,'Survey Encoding'!AM75:AX75)</f>
        <v>-0.31352815855853916</v>
      </c>
      <c r="U74" s="11">
        <v>13</v>
      </c>
      <c r="V74" s="11">
        <v>1</v>
      </c>
      <c r="W74" s="1">
        <f t="shared" si="9"/>
        <v>0.56680836661762923</v>
      </c>
      <c r="X74" s="1">
        <f t="shared" si="10"/>
        <v>0.63266145083175696</v>
      </c>
      <c r="Y74" s="1">
        <f t="shared" si="11"/>
        <v>0.31959521666873603</v>
      </c>
      <c r="Z74" s="1">
        <f t="shared" si="12"/>
        <v>0.73086379864279061</v>
      </c>
      <c r="AB74" s="11">
        <v>13</v>
      </c>
      <c r="AC74" s="11">
        <v>1</v>
      </c>
      <c r="AD74">
        <f t="shared" si="13"/>
        <v>0.25192279789671945</v>
      </c>
      <c r="AE74">
        <f t="shared" si="14"/>
        <v>0.28119176109913269</v>
      </c>
      <c r="AF74">
        <f t="shared" si="8"/>
        <v>0.14204681144361231</v>
      </c>
      <c r="AG74">
        <f t="shared" si="8"/>
        <v>0.32483862956053577</v>
      </c>
      <c r="AI74" s="11">
        <v>13</v>
      </c>
      <c r="AJ74" s="11">
        <v>1</v>
      </c>
      <c r="AK74">
        <f>SUMPRODUCT(AD74:AG74,'Coded Choice Data'!C74:F74)</f>
        <v>0.32483862956053577</v>
      </c>
      <c r="AL74">
        <f t="shared" si="15"/>
        <v>-1.1244267443905935</v>
      </c>
    </row>
    <row r="75" spans="14:38" x14ac:dyDescent="0.3">
      <c r="N75" s="11">
        <v>13</v>
      </c>
      <c r="O75" s="11">
        <v>2</v>
      </c>
      <c r="P75">
        <f>SUMPRODUCT($A$2:$L$2,'Survey Encoding'!C76:N76)</f>
        <v>1.0311076931258887</v>
      </c>
      <c r="Q75">
        <f>SUMPRODUCT($A$2:$L$2,'Survey Encoding'!O76:Z76)</f>
        <v>1.3885885502977624</v>
      </c>
      <c r="R75">
        <f>SUMPRODUCT($A$2:$L$2,'Survey Encoding'!AA76:AL76)</f>
        <v>0.7637752520424238</v>
      </c>
      <c r="S75">
        <f>SUMPRODUCT($A$2:$L$2,'Survey Encoding'!AM76:AX76)</f>
        <v>-0.31352815855853916</v>
      </c>
      <c r="U75" s="11">
        <v>13</v>
      </c>
      <c r="V75" s="11">
        <v>2</v>
      </c>
      <c r="W75" s="1">
        <f t="shared" si="9"/>
        <v>2.8041702751355775</v>
      </c>
      <c r="X75" s="1">
        <f t="shared" si="10"/>
        <v>4.0091872913740838</v>
      </c>
      <c r="Y75" s="1">
        <f t="shared" si="11"/>
        <v>2.1463640092801262</v>
      </c>
      <c r="Z75" s="1">
        <f t="shared" si="12"/>
        <v>0.73086379864279061</v>
      </c>
      <c r="AB75" s="11">
        <v>13</v>
      </c>
      <c r="AC75" s="11">
        <v>2</v>
      </c>
      <c r="AD75">
        <f t="shared" si="13"/>
        <v>0.28937057636724789</v>
      </c>
      <c r="AE75">
        <f t="shared" si="14"/>
        <v>0.41371982563115672</v>
      </c>
      <c r="AF75">
        <f t="shared" si="8"/>
        <v>0.22148961351117596</v>
      </c>
      <c r="AG75">
        <f t="shared" si="8"/>
        <v>7.5419984490419451E-2</v>
      </c>
      <c r="AI75" s="11">
        <v>13</v>
      </c>
      <c r="AJ75" s="11">
        <v>2</v>
      </c>
      <c r="AK75">
        <f>SUMPRODUCT(AD75:AG75,'Coded Choice Data'!C75:F75)</f>
        <v>0.28937057636724789</v>
      </c>
      <c r="AL75">
        <f t="shared" si="15"/>
        <v>-1.2400471411103269</v>
      </c>
    </row>
    <row r="76" spans="14:38" x14ac:dyDescent="0.3">
      <c r="N76" s="11">
        <v>13</v>
      </c>
      <c r="O76" s="11">
        <v>3</v>
      </c>
      <c r="P76">
        <f>SUMPRODUCT($A$2:$L$2,'Survey Encoding'!C77:N77)</f>
        <v>0.15000228289066947</v>
      </c>
      <c r="Q76">
        <f>SUMPRODUCT($A$2:$L$2,'Survey Encoding'!O77:Z77)</f>
        <v>-0.5677340101284214</v>
      </c>
      <c r="R76">
        <f>SUMPRODUCT($A$2:$L$2,'Survey Encoding'!AA77:AL77)</f>
        <v>0.7637752520424238</v>
      </c>
      <c r="S76">
        <f>SUMPRODUCT($A$2:$L$2,'Survey Encoding'!AM77:AX77)</f>
        <v>-0.31352815855853916</v>
      </c>
      <c r="U76" s="11">
        <v>13</v>
      </c>
      <c r="V76" s="11">
        <v>3</v>
      </c>
      <c r="W76" s="1">
        <f t="shared" si="9"/>
        <v>1.1618368950718627</v>
      </c>
      <c r="X76" s="1">
        <f t="shared" si="10"/>
        <v>0.56680836661762923</v>
      </c>
      <c r="Y76" s="1">
        <f t="shared" si="11"/>
        <v>2.1463640092801262</v>
      </c>
      <c r="Z76" s="1">
        <f t="shared" si="12"/>
        <v>0.73086379864279061</v>
      </c>
      <c r="AB76" s="11">
        <v>13</v>
      </c>
      <c r="AC76" s="11">
        <v>3</v>
      </c>
      <c r="AD76">
        <f t="shared" si="13"/>
        <v>0.25225117529555219</v>
      </c>
      <c r="AE76">
        <f t="shared" si="14"/>
        <v>0.12306209008606635</v>
      </c>
      <c r="AF76">
        <f t="shared" si="8"/>
        <v>0.46600589656734631</v>
      </c>
      <c r="AG76">
        <f t="shared" si="8"/>
        <v>0.15868083805103511</v>
      </c>
      <c r="AI76" s="11">
        <v>13</v>
      </c>
      <c r="AJ76" s="11">
        <v>3</v>
      </c>
      <c r="AK76">
        <f>SUMPRODUCT(AD76:AG76,'Coded Choice Data'!C76:F76)</f>
        <v>0.12306209008606635</v>
      </c>
      <c r="AL76">
        <f t="shared" si="15"/>
        <v>-2.0950662535293958</v>
      </c>
    </row>
    <row r="77" spans="14:38" x14ac:dyDescent="0.3">
      <c r="N77" s="11">
        <v>13</v>
      </c>
      <c r="O77" s="11">
        <v>4</v>
      </c>
      <c r="P77">
        <f>SUMPRODUCT($A$2:$L$2,'Survey Encoding'!C78:N78)</f>
        <v>0.95180473721565084</v>
      </c>
      <c r="Q77">
        <f>SUMPRODUCT($A$2:$L$2,'Survey Encoding'!O78:Z78)</f>
        <v>1.0311076931258887</v>
      </c>
      <c r="R77">
        <f>SUMPRODUCT($A$2:$L$2,'Survey Encoding'!AA78:AL78)</f>
        <v>1.1267499129920266</v>
      </c>
      <c r="S77">
        <f>SUMPRODUCT($A$2:$L$2,'Survey Encoding'!AM78:AX78)</f>
        <v>-0.31352815855853916</v>
      </c>
      <c r="U77" s="11">
        <v>13</v>
      </c>
      <c r="V77" s="11">
        <v>4</v>
      </c>
      <c r="W77" s="1">
        <f t="shared" si="9"/>
        <v>2.5903803992282071</v>
      </c>
      <c r="X77" s="1">
        <f t="shared" si="10"/>
        <v>2.8041702751355775</v>
      </c>
      <c r="Y77" s="1">
        <f t="shared" si="11"/>
        <v>3.0856116792654009</v>
      </c>
      <c r="Z77" s="1">
        <f t="shared" si="12"/>
        <v>0.73086379864279061</v>
      </c>
      <c r="AB77" s="11">
        <v>13</v>
      </c>
      <c r="AC77" s="11">
        <v>4</v>
      </c>
      <c r="AD77">
        <f t="shared" si="13"/>
        <v>0.28122603892393339</v>
      </c>
      <c r="AE77">
        <f t="shared" si="14"/>
        <v>0.30443625159438997</v>
      </c>
      <c r="AF77">
        <f t="shared" si="8"/>
        <v>0.33499108875120381</v>
      </c>
      <c r="AG77">
        <f t="shared" si="8"/>
        <v>7.9346620730472786E-2</v>
      </c>
      <c r="AI77" s="11">
        <v>13</v>
      </c>
      <c r="AJ77" s="11">
        <v>4</v>
      </c>
      <c r="AK77">
        <f>SUMPRODUCT(AD77:AG77,'Coded Choice Data'!C77:F77)</f>
        <v>0.33499108875120381</v>
      </c>
      <c r="AL77">
        <f t="shared" si="15"/>
        <v>-1.0936513482535519</v>
      </c>
    </row>
    <row r="78" spans="14:38" x14ac:dyDescent="0.3">
      <c r="N78" s="11">
        <v>13</v>
      </c>
      <c r="O78" s="11">
        <v>5</v>
      </c>
      <c r="P78">
        <f>SUMPRODUCT($A$2:$L$2,'Survey Encoding'!C79:N79)</f>
        <v>1.3885885502977624</v>
      </c>
      <c r="Q78">
        <f>SUMPRODUCT($A$2:$L$2,'Survey Encoding'!O79:Z79)</f>
        <v>1.4106531441928372</v>
      </c>
      <c r="R78">
        <f>SUMPRODUCT($A$2:$L$2,'Survey Encoding'!AA79:AL79)</f>
        <v>1.1267499129920266</v>
      </c>
      <c r="S78">
        <f>SUMPRODUCT($A$2:$L$2,'Survey Encoding'!AM79:AX79)</f>
        <v>-0.31352815855853916</v>
      </c>
      <c r="U78" s="11">
        <v>13</v>
      </c>
      <c r="V78" s="11">
        <v>5</v>
      </c>
      <c r="W78" s="1">
        <f t="shared" si="9"/>
        <v>4.0091872913740838</v>
      </c>
      <c r="X78" s="1">
        <f t="shared" si="10"/>
        <v>4.0986315274095384</v>
      </c>
      <c r="Y78" s="1">
        <f t="shared" si="11"/>
        <v>3.0856116792654009</v>
      </c>
      <c r="Z78" s="1">
        <f t="shared" si="12"/>
        <v>0.73086379864279061</v>
      </c>
      <c r="AB78" s="11">
        <v>13</v>
      </c>
      <c r="AC78" s="11">
        <v>5</v>
      </c>
      <c r="AD78">
        <f t="shared" si="13"/>
        <v>0.33622008914073537</v>
      </c>
      <c r="AE78">
        <f t="shared" si="14"/>
        <v>0.34372109790569594</v>
      </c>
      <c r="AF78">
        <f t="shared" si="8"/>
        <v>0.25876681692781178</v>
      </c>
      <c r="AG78">
        <f t="shared" si="8"/>
        <v>6.1291996025756926E-2</v>
      </c>
      <c r="AI78" s="11">
        <v>13</v>
      </c>
      <c r="AJ78" s="11">
        <v>5</v>
      </c>
      <c r="AK78">
        <f>SUMPRODUCT(AD78:AG78,'Coded Choice Data'!C78:F78)</f>
        <v>0.34372109790569594</v>
      </c>
      <c r="AL78">
        <f t="shared" si="15"/>
        <v>-1.0679247123559716</v>
      </c>
    </row>
    <row r="79" spans="14:38" x14ac:dyDescent="0.3">
      <c r="N79" s="11">
        <v>13</v>
      </c>
      <c r="O79" s="11">
        <v>6</v>
      </c>
      <c r="P79">
        <f>SUMPRODUCT($A$2:$L$2,'Survey Encoding'!C80:N80)</f>
        <v>-1.1407000318204914</v>
      </c>
      <c r="Q79">
        <f>SUMPRODUCT($A$2:$L$2,'Survey Encoding'!O80:Z80)</f>
        <v>0.66877574618081503</v>
      </c>
      <c r="R79">
        <f>SUMPRODUCT($A$2:$L$2,'Survey Encoding'!AA80:AL80)</f>
        <v>0.15000228289066947</v>
      </c>
      <c r="S79">
        <f>SUMPRODUCT($A$2:$L$2,'Survey Encoding'!AM80:AX80)</f>
        <v>-0.31352815855853916</v>
      </c>
      <c r="U79" s="11">
        <v>13</v>
      </c>
      <c r="V79" s="11">
        <v>6</v>
      </c>
      <c r="W79" s="1">
        <f t="shared" si="9"/>
        <v>0.31959521666873603</v>
      </c>
      <c r="X79" s="1">
        <f t="shared" si="10"/>
        <v>1.9518463020380199</v>
      </c>
      <c r="Y79" s="1">
        <f t="shared" si="11"/>
        <v>1.1618368950718627</v>
      </c>
      <c r="Z79" s="1">
        <f t="shared" si="12"/>
        <v>0.73086379864279061</v>
      </c>
      <c r="AB79" s="11">
        <v>13</v>
      </c>
      <c r="AC79" s="11">
        <v>6</v>
      </c>
      <c r="AD79">
        <f t="shared" si="13"/>
        <v>7.6749352055124564E-2</v>
      </c>
      <c r="AE79">
        <f t="shared" si="14"/>
        <v>0.46872709971714432</v>
      </c>
      <c r="AF79">
        <f t="shared" si="8"/>
        <v>0.27900989827056494</v>
      </c>
      <c r="AG79">
        <f t="shared" si="8"/>
        <v>0.17551364995716615</v>
      </c>
      <c r="AI79" s="11">
        <v>13</v>
      </c>
      <c r="AJ79" s="11">
        <v>6</v>
      </c>
      <c r="AK79">
        <f>SUMPRODUCT(AD79:AG79,'Coded Choice Data'!C79:F79)</f>
        <v>7.6749352055124564E-2</v>
      </c>
      <c r="AL79">
        <f t="shared" si="15"/>
        <v>-2.5672103348289741</v>
      </c>
    </row>
    <row r="80" spans="14:38" x14ac:dyDescent="0.3">
      <c r="N80" s="11">
        <v>14</v>
      </c>
      <c r="O80" s="11">
        <v>1</v>
      </c>
      <c r="P80">
        <f>SUMPRODUCT($A$2:$L$2,'Survey Encoding'!C81:N81)</f>
        <v>-0.5677340101284214</v>
      </c>
      <c r="Q80">
        <f>SUMPRODUCT($A$2:$L$2,'Survey Encoding'!O81:Z81)</f>
        <v>-0.45781983272127458</v>
      </c>
      <c r="R80">
        <f>SUMPRODUCT($A$2:$L$2,'Survey Encoding'!AA81:AL81)</f>
        <v>-1.1407000318204914</v>
      </c>
      <c r="S80">
        <f>SUMPRODUCT($A$2:$L$2,'Survey Encoding'!AM81:AX81)</f>
        <v>-0.31352815855853916</v>
      </c>
      <c r="U80" s="11">
        <v>14</v>
      </c>
      <c r="V80" s="11">
        <v>1</v>
      </c>
      <c r="W80" s="1">
        <f t="shared" si="9"/>
        <v>0.56680836661762923</v>
      </c>
      <c r="X80" s="1">
        <f t="shared" si="10"/>
        <v>0.63266145083175696</v>
      </c>
      <c r="Y80" s="1">
        <f t="shared" si="11"/>
        <v>0.31959521666873603</v>
      </c>
      <c r="Z80" s="1">
        <f t="shared" si="12"/>
        <v>0.73086379864279061</v>
      </c>
      <c r="AB80" s="11">
        <v>14</v>
      </c>
      <c r="AC80" s="11">
        <v>1</v>
      </c>
      <c r="AD80">
        <f t="shared" si="13"/>
        <v>0.25192279789671945</v>
      </c>
      <c r="AE80">
        <f t="shared" si="14"/>
        <v>0.28119176109913269</v>
      </c>
      <c r="AF80">
        <f t="shared" si="8"/>
        <v>0.14204681144361231</v>
      </c>
      <c r="AG80">
        <f t="shared" si="8"/>
        <v>0.32483862956053577</v>
      </c>
      <c r="AI80" s="11">
        <v>14</v>
      </c>
      <c r="AJ80" s="11">
        <v>1</v>
      </c>
      <c r="AK80">
        <f>SUMPRODUCT(AD80:AG80,'Coded Choice Data'!C80:F80)</f>
        <v>0.28119176109913269</v>
      </c>
      <c r="AL80">
        <f t="shared" si="15"/>
        <v>-1.2687184185533291</v>
      </c>
    </row>
    <row r="81" spans="14:38" x14ac:dyDescent="0.3">
      <c r="N81" s="11">
        <v>14</v>
      </c>
      <c r="O81" s="11">
        <v>2</v>
      </c>
      <c r="P81">
        <f>SUMPRODUCT($A$2:$L$2,'Survey Encoding'!C82:N82)</f>
        <v>1.0311076931258887</v>
      </c>
      <c r="Q81">
        <f>SUMPRODUCT($A$2:$L$2,'Survey Encoding'!O82:Z82)</f>
        <v>1.3885885502977624</v>
      </c>
      <c r="R81">
        <f>SUMPRODUCT($A$2:$L$2,'Survey Encoding'!AA82:AL82)</f>
        <v>0.7637752520424238</v>
      </c>
      <c r="S81">
        <f>SUMPRODUCT($A$2:$L$2,'Survey Encoding'!AM82:AX82)</f>
        <v>-0.31352815855853916</v>
      </c>
      <c r="U81" s="11">
        <v>14</v>
      </c>
      <c r="V81" s="11">
        <v>2</v>
      </c>
      <c r="W81" s="1">
        <f t="shared" si="9"/>
        <v>2.8041702751355775</v>
      </c>
      <c r="X81" s="1">
        <f t="shared" si="10"/>
        <v>4.0091872913740838</v>
      </c>
      <c r="Y81" s="1">
        <f t="shared" si="11"/>
        <v>2.1463640092801262</v>
      </c>
      <c r="Z81" s="1">
        <f t="shared" si="12"/>
        <v>0.73086379864279061</v>
      </c>
      <c r="AB81" s="11">
        <v>14</v>
      </c>
      <c r="AC81" s="11">
        <v>2</v>
      </c>
      <c r="AD81">
        <f t="shared" si="13"/>
        <v>0.28937057636724789</v>
      </c>
      <c r="AE81">
        <f t="shared" si="14"/>
        <v>0.41371982563115672</v>
      </c>
      <c r="AF81">
        <f t="shared" si="8"/>
        <v>0.22148961351117596</v>
      </c>
      <c r="AG81">
        <f t="shared" si="8"/>
        <v>7.5419984490419451E-2</v>
      </c>
      <c r="AI81" s="11">
        <v>14</v>
      </c>
      <c r="AJ81" s="11">
        <v>2</v>
      </c>
      <c r="AK81">
        <f>SUMPRODUCT(AD81:AG81,'Coded Choice Data'!C81:F81)</f>
        <v>0.28937057636724789</v>
      </c>
      <c r="AL81">
        <f t="shared" si="15"/>
        <v>-1.2400471411103269</v>
      </c>
    </row>
    <row r="82" spans="14:38" x14ac:dyDescent="0.3">
      <c r="N82" s="11">
        <v>14</v>
      </c>
      <c r="O82" s="11">
        <v>3</v>
      </c>
      <c r="P82">
        <f>SUMPRODUCT($A$2:$L$2,'Survey Encoding'!C83:N83)</f>
        <v>0.15000228289066947</v>
      </c>
      <c r="Q82">
        <f>SUMPRODUCT($A$2:$L$2,'Survey Encoding'!O83:Z83)</f>
        <v>-0.5677340101284214</v>
      </c>
      <c r="R82">
        <f>SUMPRODUCT($A$2:$L$2,'Survey Encoding'!AA83:AL83)</f>
        <v>0.7637752520424238</v>
      </c>
      <c r="S82">
        <f>SUMPRODUCT($A$2:$L$2,'Survey Encoding'!AM83:AX83)</f>
        <v>-0.31352815855853916</v>
      </c>
      <c r="U82" s="11">
        <v>14</v>
      </c>
      <c r="V82" s="11">
        <v>3</v>
      </c>
      <c r="W82" s="1">
        <f t="shared" si="9"/>
        <v>1.1618368950718627</v>
      </c>
      <c r="X82" s="1">
        <f t="shared" si="10"/>
        <v>0.56680836661762923</v>
      </c>
      <c r="Y82" s="1">
        <f t="shared" si="11"/>
        <v>2.1463640092801262</v>
      </c>
      <c r="Z82" s="1">
        <f t="shared" si="12"/>
        <v>0.73086379864279061</v>
      </c>
      <c r="AB82" s="11">
        <v>14</v>
      </c>
      <c r="AC82" s="11">
        <v>3</v>
      </c>
      <c r="AD82">
        <f t="shared" si="13"/>
        <v>0.25225117529555219</v>
      </c>
      <c r="AE82">
        <f t="shared" si="14"/>
        <v>0.12306209008606635</v>
      </c>
      <c r="AF82">
        <f t="shared" ref="AF82:AG145" si="16">Y82/SUM($W82:$Z82)</f>
        <v>0.46600589656734631</v>
      </c>
      <c r="AG82">
        <f t="shared" si="16"/>
        <v>0.15868083805103511</v>
      </c>
      <c r="AI82" s="11">
        <v>14</v>
      </c>
      <c r="AJ82" s="11">
        <v>3</v>
      </c>
      <c r="AK82">
        <f>SUMPRODUCT(AD82:AG82,'Coded Choice Data'!C82:F82)</f>
        <v>0.25225117529555219</v>
      </c>
      <c r="AL82">
        <f t="shared" si="15"/>
        <v>-1.3773299605103049</v>
      </c>
    </row>
    <row r="83" spans="14:38" x14ac:dyDescent="0.3">
      <c r="N83" s="11">
        <v>14</v>
      </c>
      <c r="O83" s="11">
        <v>4</v>
      </c>
      <c r="P83">
        <f>SUMPRODUCT($A$2:$L$2,'Survey Encoding'!C84:N84)</f>
        <v>0.95180473721565084</v>
      </c>
      <c r="Q83">
        <f>SUMPRODUCT($A$2:$L$2,'Survey Encoding'!O84:Z84)</f>
        <v>1.0311076931258887</v>
      </c>
      <c r="R83">
        <f>SUMPRODUCT($A$2:$L$2,'Survey Encoding'!AA84:AL84)</f>
        <v>1.1267499129920266</v>
      </c>
      <c r="S83">
        <f>SUMPRODUCT($A$2:$L$2,'Survey Encoding'!AM84:AX84)</f>
        <v>-0.31352815855853916</v>
      </c>
      <c r="U83" s="11">
        <v>14</v>
      </c>
      <c r="V83" s="11">
        <v>4</v>
      </c>
      <c r="W83" s="1">
        <f t="shared" si="9"/>
        <v>2.5903803992282071</v>
      </c>
      <c r="X83" s="1">
        <f t="shared" si="10"/>
        <v>2.8041702751355775</v>
      </c>
      <c r="Y83" s="1">
        <f t="shared" si="11"/>
        <v>3.0856116792654009</v>
      </c>
      <c r="Z83" s="1">
        <f t="shared" si="12"/>
        <v>0.73086379864279061</v>
      </c>
      <c r="AB83" s="11">
        <v>14</v>
      </c>
      <c r="AC83" s="11">
        <v>4</v>
      </c>
      <c r="AD83">
        <f t="shared" si="13"/>
        <v>0.28122603892393339</v>
      </c>
      <c r="AE83">
        <f t="shared" si="14"/>
        <v>0.30443625159438997</v>
      </c>
      <c r="AF83">
        <f t="shared" si="16"/>
        <v>0.33499108875120381</v>
      </c>
      <c r="AG83">
        <f t="shared" si="16"/>
        <v>7.9346620730472786E-2</v>
      </c>
      <c r="AI83" s="11">
        <v>14</v>
      </c>
      <c r="AJ83" s="11">
        <v>4</v>
      </c>
      <c r="AK83">
        <f>SUMPRODUCT(AD83:AG83,'Coded Choice Data'!C83:F83)</f>
        <v>0.30443625159438997</v>
      </c>
      <c r="AL83">
        <f t="shared" si="15"/>
        <v>-1.1892935681196899</v>
      </c>
    </row>
    <row r="84" spans="14:38" x14ac:dyDescent="0.3">
      <c r="N84" s="11">
        <v>14</v>
      </c>
      <c r="O84" s="11">
        <v>5</v>
      </c>
      <c r="P84">
        <f>SUMPRODUCT($A$2:$L$2,'Survey Encoding'!C85:N85)</f>
        <v>1.3885885502977624</v>
      </c>
      <c r="Q84">
        <f>SUMPRODUCT($A$2:$L$2,'Survey Encoding'!O85:Z85)</f>
        <v>1.4106531441928372</v>
      </c>
      <c r="R84">
        <f>SUMPRODUCT($A$2:$L$2,'Survey Encoding'!AA85:AL85)</f>
        <v>1.1267499129920266</v>
      </c>
      <c r="S84">
        <f>SUMPRODUCT($A$2:$L$2,'Survey Encoding'!AM85:AX85)</f>
        <v>-0.31352815855853916</v>
      </c>
      <c r="U84" s="11">
        <v>14</v>
      </c>
      <c r="V84" s="11">
        <v>5</v>
      </c>
      <c r="W84" s="1">
        <f t="shared" si="9"/>
        <v>4.0091872913740838</v>
      </c>
      <c r="X84" s="1">
        <f t="shared" si="10"/>
        <v>4.0986315274095384</v>
      </c>
      <c r="Y84" s="1">
        <f t="shared" si="11"/>
        <v>3.0856116792654009</v>
      </c>
      <c r="Z84" s="1">
        <f t="shared" si="12"/>
        <v>0.73086379864279061</v>
      </c>
      <c r="AB84" s="11">
        <v>14</v>
      </c>
      <c r="AC84" s="11">
        <v>5</v>
      </c>
      <c r="AD84">
        <f t="shared" si="13"/>
        <v>0.33622008914073537</v>
      </c>
      <c r="AE84">
        <f t="shared" si="14"/>
        <v>0.34372109790569594</v>
      </c>
      <c r="AF84">
        <f t="shared" si="16"/>
        <v>0.25876681692781178</v>
      </c>
      <c r="AG84">
        <f t="shared" si="16"/>
        <v>6.1291996025756926E-2</v>
      </c>
      <c r="AI84" s="11">
        <v>14</v>
      </c>
      <c r="AJ84" s="11">
        <v>5</v>
      </c>
      <c r="AK84">
        <f>SUMPRODUCT(AD84:AG84,'Coded Choice Data'!C84:F84)</f>
        <v>0.33622008914073537</v>
      </c>
      <c r="AL84">
        <f t="shared" si="15"/>
        <v>-1.0899893062510464</v>
      </c>
    </row>
    <row r="85" spans="14:38" x14ac:dyDescent="0.3">
      <c r="N85" s="11">
        <v>14</v>
      </c>
      <c r="O85" s="11">
        <v>6</v>
      </c>
      <c r="P85">
        <f>SUMPRODUCT($A$2:$L$2,'Survey Encoding'!C86:N86)</f>
        <v>-1.1407000318204914</v>
      </c>
      <c r="Q85">
        <f>SUMPRODUCT($A$2:$L$2,'Survey Encoding'!O86:Z86)</f>
        <v>0.66877574618081503</v>
      </c>
      <c r="R85">
        <f>SUMPRODUCT($A$2:$L$2,'Survey Encoding'!AA86:AL86)</f>
        <v>0.15000228289066947</v>
      </c>
      <c r="S85">
        <f>SUMPRODUCT($A$2:$L$2,'Survey Encoding'!AM86:AX86)</f>
        <v>-0.31352815855853916</v>
      </c>
      <c r="U85" s="11">
        <v>14</v>
      </c>
      <c r="V85" s="11">
        <v>6</v>
      </c>
      <c r="W85" s="1">
        <f t="shared" si="9"/>
        <v>0.31959521666873603</v>
      </c>
      <c r="X85" s="1">
        <f t="shared" si="10"/>
        <v>1.9518463020380199</v>
      </c>
      <c r="Y85" s="1">
        <f t="shared" si="11"/>
        <v>1.1618368950718627</v>
      </c>
      <c r="Z85" s="1">
        <f t="shared" si="12"/>
        <v>0.73086379864279061</v>
      </c>
      <c r="AB85" s="11">
        <v>14</v>
      </c>
      <c r="AC85" s="11">
        <v>6</v>
      </c>
      <c r="AD85">
        <f t="shared" si="13"/>
        <v>7.6749352055124564E-2</v>
      </c>
      <c r="AE85">
        <f t="shared" si="14"/>
        <v>0.46872709971714432</v>
      </c>
      <c r="AF85">
        <f t="shared" si="16"/>
        <v>0.27900989827056494</v>
      </c>
      <c r="AG85">
        <f t="shared" si="16"/>
        <v>0.17551364995716615</v>
      </c>
      <c r="AI85" s="11">
        <v>14</v>
      </c>
      <c r="AJ85" s="11">
        <v>6</v>
      </c>
      <c r="AK85">
        <f>SUMPRODUCT(AD85:AG85,'Coded Choice Data'!C85:F85)</f>
        <v>0.46872709971714432</v>
      </c>
      <c r="AL85">
        <f t="shared" si="15"/>
        <v>-0.75773455682766766</v>
      </c>
    </row>
    <row r="86" spans="14:38" x14ac:dyDescent="0.3">
      <c r="N86" s="11">
        <v>15</v>
      </c>
      <c r="O86" s="11">
        <v>1</v>
      </c>
      <c r="P86">
        <f>SUMPRODUCT($A$2:$L$2,'Survey Encoding'!C87:N87)</f>
        <v>-0.5677340101284214</v>
      </c>
      <c r="Q86">
        <f>SUMPRODUCT($A$2:$L$2,'Survey Encoding'!O87:Z87)</f>
        <v>-0.45781983272127458</v>
      </c>
      <c r="R86">
        <f>SUMPRODUCT($A$2:$L$2,'Survey Encoding'!AA87:AL87)</f>
        <v>-1.1407000318204914</v>
      </c>
      <c r="S86">
        <f>SUMPRODUCT($A$2:$L$2,'Survey Encoding'!AM87:AX87)</f>
        <v>-0.31352815855853916</v>
      </c>
      <c r="U86" s="11">
        <v>15</v>
      </c>
      <c r="V86" s="11">
        <v>1</v>
      </c>
      <c r="W86" s="1">
        <f t="shared" si="9"/>
        <v>0.56680836661762923</v>
      </c>
      <c r="X86" s="1">
        <f t="shared" si="10"/>
        <v>0.63266145083175696</v>
      </c>
      <c r="Y86" s="1">
        <f t="shared" si="11"/>
        <v>0.31959521666873603</v>
      </c>
      <c r="Z86" s="1">
        <f t="shared" si="12"/>
        <v>0.73086379864279061</v>
      </c>
      <c r="AB86" s="11">
        <v>15</v>
      </c>
      <c r="AC86" s="11">
        <v>1</v>
      </c>
      <c r="AD86">
        <f t="shared" si="13"/>
        <v>0.25192279789671945</v>
      </c>
      <c r="AE86">
        <f t="shared" si="14"/>
        <v>0.28119176109913269</v>
      </c>
      <c r="AF86">
        <f t="shared" si="16"/>
        <v>0.14204681144361231</v>
      </c>
      <c r="AG86">
        <f t="shared" si="16"/>
        <v>0.32483862956053577</v>
      </c>
      <c r="AI86" s="11">
        <v>15</v>
      </c>
      <c r="AJ86" s="11">
        <v>1</v>
      </c>
      <c r="AK86">
        <f>SUMPRODUCT(AD86:AG86,'Coded Choice Data'!C86:F86)</f>
        <v>0.28119176109913269</v>
      </c>
      <c r="AL86">
        <f t="shared" si="15"/>
        <v>-1.2687184185533291</v>
      </c>
    </row>
    <row r="87" spans="14:38" x14ac:dyDescent="0.3">
      <c r="N87" s="11">
        <v>15</v>
      </c>
      <c r="O87" s="11">
        <v>2</v>
      </c>
      <c r="P87">
        <f>SUMPRODUCT($A$2:$L$2,'Survey Encoding'!C88:N88)</f>
        <v>1.0311076931258887</v>
      </c>
      <c r="Q87">
        <f>SUMPRODUCT($A$2:$L$2,'Survey Encoding'!O88:Z88)</f>
        <v>1.3885885502977624</v>
      </c>
      <c r="R87">
        <f>SUMPRODUCT($A$2:$L$2,'Survey Encoding'!AA88:AL88)</f>
        <v>0.7637752520424238</v>
      </c>
      <c r="S87">
        <f>SUMPRODUCT($A$2:$L$2,'Survey Encoding'!AM88:AX88)</f>
        <v>-0.31352815855853916</v>
      </c>
      <c r="U87" s="11">
        <v>15</v>
      </c>
      <c r="V87" s="11">
        <v>2</v>
      </c>
      <c r="W87" s="1">
        <f t="shared" si="9"/>
        <v>2.8041702751355775</v>
      </c>
      <c r="X87" s="1">
        <f t="shared" si="10"/>
        <v>4.0091872913740838</v>
      </c>
      <c r="Y87" s="1">
        <f t="shared" si="11"/>
        <v>2.1463640092801262</v>
      </c>
      <c r="Z87" s="1">
        <f t="shared" si="12"/>
        <v>0.73086379864279061</v>
      </c>
      <c r="AB87" s="11">
        <v>15</v>
      </c>
      <c r="AC87" s="11">
        <v>2</v>
      </c>
      <c r="AD87">
        <f t="shared" si="13"/>
        <v>0.28937057636724789</v>
      </c>
      <c r="AE87">
        <f t="shared" si="14"/>
        <v>0.41371982563115672</v>
      </c>
      <c r="AF87">
        <f t="shared" si="16"/>
        <v>0.22148961351117596</v>
      </c>
      <c r="AG87">
        <f t="shared" si="16"/>
        <v>7.5419984490419451E-2</v>
      </c>
      <c r="AI87" s="11">
        <v>15</v>
      </c>
      <c r="AJ87" s="11">
        <v>2</v>
      </c>
      <c r="AK87">
        <f>SUMPRODUCT(AD87:AG87,'Coded Choice Data'!C87:F87)</f>
        <v>0.28937057636724789</v>
      </c>
      <c r="AL87">
        <f t="shared" si="15"/>
        <v>-1.2400471411103269</v>
      </c>
    </row>
    <row r="88" spans="14:38" x14ac:dyDescent="0.3">
      <c r="N88" s="11">
        <v>15</v>
      </c>
      <c r="O88" s="11">
        <v>3</v>
      </c>
      <c r="P88">
        <f>SUMPRODUCT($A$2:$L$2,'Survey Encoding'!C89:N89)</f>
        <v>0.15000228289066947</v>
      </c>
      <c r="Q88">
        <f>SUMPRODUCT($A$2:$L$2,'Survey Encoding'!O89:Z89)</f>
        <v>-0.5677340101284214</v>
      </c>
      <c r="R88">
        <f>SUMPRODUCT($A$2:$L$2,'Survey Encoding'!AA89:AL89)</f>
        <v>0.7637752520424238</v>
      </c>
      <c r="S88">
        <f>SUMPRODUCT($A$2:$L$2,'Survey Encoding'!AM89:AX89)</f>
        <v>-0.31352815855853916</v>
      </c>
      <c r="U88" s="11">
        <v>15</v>
      </c>
      <c r="V88" s="11">
        <v>3</v>
      </c>
      <c r="W88" s="1">
        <f t="shared" si="9"/>
        <v>1.1618368950718627</v>
      </c>
      <c r="X88" s="1">
        <f t="shared" si="10"/>
        <v>0.56680836661762923</v>
      </c>
      <c r="Y88" s="1">
        <f t="shared" si="11"/>
        <v>2.1463640092801262</v>
      </c>
      <c r="Z88" s="1">
        <f t="shared" si="12"/>
        <v>0.73086379864279061</v>
      </c>
      <c r="AB88" s="11">
        <v>15</v>
      </c>
      <c r="AC88" s="11">
        <v>3</v>
      </c>
      <c r="AD88">
        <f t="shared" si="13"/>
        <v>0.25225117529555219</v>
      </c>
      <c r="AE88">
        <f t="shared" si="14"/>
        <v>0.12306209008606635</v>
      </c>
      <c r="AF88">
        <f t="shared" si="16"/>
        <v>0.46600589656734631</v>
      </c>
      <c r="AG88">
        <f t="shared" si="16"/>
        <v>0.15868083805103511</v>
      </c>
      <c r="AI88" s="11">
        <v>15</v>
      </c>
      <c r="AJ88" s="11">
        <v>3</v>
      </c>
      <c r="AK88">
        <f>SUMPRODUCT(AD88:AG88,'Coded Choice Data'!C88:F88)</f>
        <v>0.25225117529555219</v>
      </c>
      <c r="AL88">
        <f t="shared" si="15"/>
        <v>-1.3773299605103049</v>
      </c>
    </row>
    <row r="89" spans="14:38" x14ac:dyDescent="0.3">
      <c r="N89" s="11">
        <v>15</v>
      </c>
      <c r="O89" s="11">
        <v>4</v>
      </c>
      <c r="P89">
        <f>SUMPRODUCT($A$2:$L$2,'Survey Encoding'!C90:N90)</f>
        <v>0.95180473721565084</v>
      </c>
      <c r="Q89">
        <f>SUMPRODUCT($A$2:$L$2,'Survey Encoding'!O90:Z90)</f>
        <v>1.0311076931258887</v>
      </c>
      <c r="R89">
        <f>SUMPRODUCT($A$2:$L$2,'Survey Encoding'!AA90:AL90)</f>
        <v>1.1267499129920266</v>
      </c>
      <c r="S89">
        <f>SUMPRODUCT($A$2:$L$2,'Survey Encoding'!AM90:AX90)</f>
        <v>-0.31352815855853916</v>
      </c>
      <c r="U89" s="11">
        <v>15</v>
      </c>
      <c r="V89" s="11">
        <v>4</v>
      </c>
      <c r="W89" s="1">
        <f t="shared" si="9"/>
        <v>2.5903803992282071</v>
      </c>
      <c r="X89" s="1">
        <f t="shared" si="10"/>
        <v>2.8041702751355775</v>
      </c>
      <c r="Y89" s="1">
        <f t="shared" si="11"/>
        <v>3.0856116792654009</v>
      </c>
      <c r="Z89" s="1">
        <f t="shared" si="12"/>
        <v>0.73086379864279061</v>
      </c>
      <c r="AB89" s="11">
        <v>15</v>
      </c>
      <c r="AC89" s="11">
        <v>4</v>
      </c>
      <c r="AD89">
        <f t="shared" si="13"/>
        <v>0.28122603892393339</v>
      </c>
      <c r="AE89">
        <f t="shared" si="14"/>
        <v>0.30443625159438997</v>
      </c>
      <c r="AF89">
        <f t="shared" si="16"/>
        <v>0.33499108875120381</v>
      </c>
      <c r="AG89">
        <f t="shared" si="16"/>
        <v>7.9346620730472786E-2</v>
      </c>
      <c r="AI89" s="11">
        <v>15</v>
      </c>
      <c r="AJ89" s="11">
        <v>4</v>
      </c>
      <c r="AK89">
        <f>SUMPRODUCT(AD89:AG89,'Coded Choice Data'!C89:F89)</f>
        <v>0.30443625159438997</v>
      </c>
      <c r="AL89">
        <f t="shared" si="15"/>
        <v>-1.1892935681196899</v>
      </c>
    </row>
    <row r="90" spans="14:38" x14ac:dyDescent="0.3">
      <c r="N90" s="11">
        <v>15</v>
      </c>
      <c r="O90" s="11">
        <v>5</v>
      </c>
      <c r="P90">
        <f>SUMPRODUCT($A$2:$L$2,'Survey Encoding'!C91:N91)</f>
        <v>1.3885885502977624</v>
      </c>
      <c r="Q90">
        <f>SUMPRODUCT($A$2:$L$2,'Survey Encoding'!O91:Z91)</f>
        <v>1.4106531441928372</v>
      </c>
      <c r="R90">
        <f>SUMPRODUCT($A$2:$L$2,'Survey Encoding'!AA91:AL91)</f>
        <v>1.1267499129920266</v>
      </c>
      <c r="S90">
        <f>SUMPRODUCT($A$2:$L$2,'Survey Encoding'!AM91:AX91)</f>
        <v>-0.31352815855853916</v>
      </c>
      <c r="U90" s="11">
        <v>15</v>
      </c>
      <c r="V90" s="11">
        <v>5</v>
      </c>
      <c r="W90" s="1">
        <f t="shared" si="9"/>
        <v>4.0091872913740838</v>
      </c>
      <c r="X90" s="1">
        <f t="shared" si="10"/>
        <v>4.0986315274095384</v>
      </c>
      <c r="Y90" s="1">
        <f t="shared" si="11"/>
        <v>3.0856116792654009</v>
      </c>
      <c r="Z90" s="1">
        <f t="shared" si="12"/>
        <v>0.73086379864279061</v>
      </c>
      <c r="AB90" s="11">
        <v>15</v>
      </c>
      <c r="AC90" s="11">
        <v>5</v>
      </c>
      <c r="AD90">
        <f t="shared" si="13"/>
        <v>0.33622008914073537</v>
      </c>
      <c r="AE90">
        <f t="shared" si="14"/>
        <v>0.34372109790569594</v>
      </c>
      <c r="AF90">
        <f t="shared" si="16"/>
        <v>0.25876681692781178</v>
      </c>
      <c r="AG90">
        <f t="shared" si="16"/>
        <v>6.1291996025756926E-2</v>
      </c>
      <c r="AI90" s="11">
        <v>15</v>
      </c>
      <c r="AJ90" s="11">
        <v>5</v>
      </c>
      <c r="AK90">
        <f>SUMPRODUCT(AD90:AG90,'Coded Choice Data'!C90:F90)</f>
        <v>0.34372109790569594</v>
      </c>
      <c r="AL90">
        <f t="shared" si="15"/>
        <v>-1.0679247123559716</v>
      </c>
    </row>
    <row r="91" spans="14:38" x14ac:dyDescent="0.3">
      <c r="N91" s="11">
        <v>15</v>
      </c>
      <c r="O91" s="11">
        <v>6</v>
      </c>
      <c r="P91">
        <f>SUMPRODUCT($A$2:$L$2,'Survey Encoding'!C92:N92)</f>
        <v>-1.1407000318204914</v>
      </c>
      <c r="Q91">
        <f>SUMPRODUCT($A$2:$L$2,'Survey Encoding'!O92:Z92)</f>
        <v>0.66877574618081503</v>
      </c>
      <c r="R91">
        <f>SUMPRODUCT($A$2:$L$2,'Survey Encoding'!AA92:AL92)</f>
        <v>0.15000228289066947</v>
      </c>
      <c r="S91">
        <f>SUMPRODUCT($A$2:$L$2,'Survey Encoding'!AM92:AX92)</f>
        <v>-0.31352815855853916</v>
      </c>
      <c r="U91" s="11">
        <v>15</v>
      </c>
      <c r="V91" s="11">
        <v>6</v>
      </c>
      <c r="W91" s="1">
        <f t="shared" si="9"/>
        <v>0.31959521666873603</v>
      </c>
      <c r="X91" s="1">
        <f t="shared" si="10"/>
        <v>1.9518463020380199</v>
      </c>
      <c r="Y91" s="1">
        <f t="shared" si="11"/>
        <v>1.1618368950718627</v>
      </c>
      <c r="Z91" s="1">
        <f t="shared" si="12"/>
        <v>0.73086379864279061</v>
      </c>
      <c r="AB91" s="11">
        <v>15</v>
      </c>
      <c r="AC91" s="11">
        <v>6</v>
      </c>
      <c r="AD91">
        <f t="shared" si="13"/>
        <v>7.6749352055124564E-2</v>
      </c>
      <c r="AE91">
        <f t="shared" si="14"/>
        <v>0.46872709971714432</v>
      </c>
      <c r="AF91">
        <f t="shared" si="16"/>
        <v>0.27900989827056494</v>
      </c>
      <c r="AG91">
        <f t="shared" si="16"/>
        <v>0.17551364995716615</v>
      </c>
      <c r="AI91" s="11">
        <v>15</v>
      </c>
      <c r="AJ91" s="11">
        <v>6</v>
      </c>
      <c r="AK91">
        <f>SUMPRODUCT(AD91:AG91,'Coded Choice Data'!C91:F91)</f>
        <v>0.46872709971714432</v>
      </c>
      <c r="AL91">
        <f t="shared" si="15"/>
        <v>-0.75773455682766766</v>
      </c>
    </row>
    <row r="92" spans="14:38" x14ac:dyDescent="0.3">
      <c r="N92" s="11">
        <v>16</v>
      </c>
      <c r="O92" s="11">
        <v>1</v>
      </c>
      <c r="P92">
        <f>SUMPRODUCT($A$2:$L$2,'Survey Encoding'!C93:N93)</f>
        <v>-0.5677340101284214</v>
      </c>
      <c r="Q92">
        <f>SUMPRODUCT($A$2:$L$2,'Survey Encoding'!O93:Z93)</f>
        <v>-0.45781983272127458</v>
      </c>
      <c r="R92">
        <f>SUMPRODUCT($A$2:$L$2,'Survey Encoding'!AA93:AL93)</f>
        <v>-1.1407000318204914</v>
      </c>
      <c r="S92">
        <f>SUMPRODUCT($A$2:$L$2,'Survey Encoding'!AM93:AX93)</f>
        <v>-0.31352815855853916</v>
      </c>
      <c r="U92" s="11">
        <v>16</v>
      </c>
      <c r="V92" s="11">
        <v>1</v>
      </c>
      <c r="W92" s="1">
        <f t="shared" si="9"/>
        <v>0.56680836661762923</v>
      </c>
      <c r="X92" s="1">
        <f t="shared" si="10"/>
        <v>0.63266145083175696</v>
      </c>
      <c r="Y92" s="1">
        <f t="shared" si="11"/>
        <v>0.31959521666873603</v>
      </c>
      <c r="Z92" s="1">
        <f t="shared" si="12"/>
        <v>0.73086379864279061</v>
      </c>
      <c r="AB92" s="11">
        <v>16</v>
      </c>
      <c r="AC92" s="11">
        <v>1</v>
      </c>
      <c r="AD92">
        <f t="shared" si="13"/>
        <v>0.25192279789671945</v>
      </c>
      <c r="AE92">
        <f t="shared" si="14"/>
        <v>0.28119176109913269</v>
      </c>
      <c r="AF92">
        <f t="shared" si="16"/>
        <v>0.14204681144361231</v>
      </c>
      <c r="AG92">
        <f t="shared" si="16"/>
        <v>0.32483862956053577</v>
      </c>
      <c r="AI92" s="11">
        <v>16</v>
      </c>
      <c r="AJ92" s="11">
        <v>1</v>
      </c>
      <c r="AK92">
        <f>SUMPRODUCT(AD92:AG92,'Coded Choice Data'!C92:F92)</f>
        <v>0.32483862956053577</v>
      </c>
      <c r="AL92">
        <f t="shared" si="15"/>
        <v>-1.1244267443905935</v>
      </c>
    </row>
    <row r="93" spans="14:38" x14ac:dyDescent="0.3">
      <c r="N93" s="11">
        <v>16</v>
      </c>
      <c r="O93" s="11">
        <v>2</v>
      </c>
      <c r="P93">
        <f>SUMPRODUCT($A$2:$L$2,'Survey Encoding'!C94:N94)</f>
        <v>1.0311076931258887</v>
      </c>
      <c r="Q93">
        <f>SUMPRODUCT($A$2:$L$2,'Survey Encoding'!O94:Z94)</f>
        <v>1.3885885502977624</v>
      </c>
      <c r="R93">
        <f>SUMPRODUCT($A$2:$L$2,'Survey Encoding'!AA94:AL94)</f>
        <v>0.7637752520424238</v>
      </c>
      <c r="S93">
        <f>SUMPRODUCT($A$2:$L$2,'Survey Encoding'!AM94:AX94)</f>
        <v>-0.31352815855853916</v>
      </c>
      <c r="U93" s="11">
        <v>16</v>
      </c>
      <c r="V93" s="11">
        <v>2</v>
      </c>
      <c r="W93" s="1">
        <f t="shared" si="9"/>
        <v>2.8041702751355775</v>
      </c>
      <c r="X93" s="1">
        <f t="shared" si="10"/>
        <v>4.0091872913740838</v>
      </c>
      <c r="Y93" s="1">
        <f t="shared" si="11"/>
        <v>2.1463640092801262</v>
      </c>
      <c r="Z93" s="1">
        <f t="shared" si="12"/>
        <v>0.73086379864279061</v>
      </c>
      <c r="AB93" s="11">
        <v>16</v>
      </c>
      <c r="AC93" s="11">
        <v>2</v>
      </c>
      <c r="AD93">
        <f t="shared" si="13"/>
        <v>0.28937057636724789</v>
      </c>
      <c r="AE93">
        <f t="shared" si="14"/>
        <v>0.41371982563115672</v>
      </c>
      <c r="AF93">
        <f t="shared" si="16"/>
        <v>0.22148961351117596</v>
      </c>
      <c r="AG93">
        <f t="shared" si="16"/>
        <v>7.5419984490419451E-2</v>
      </c>
      <c r="AI93" s="11">
        <v>16</v>
      </c>
      <c r="AJ93" s="11">
        <v>2</v>
      </c>
      <c r="AK93">
        <f>SUMPRODUCT(AD93:AG93,'Coded Choice Data'!C93:F93)</f>
        <v>0.41371982563115672</v>
      </c>
      <c r="AL93">
        <f t="shared" si="15"/>
        <v>-0.88256628393845316</v>
      </c>
    </row>
    <row r="94" spans="14:38" x14ac:dyDescent="0.3">
      <c r="N94" s="11">
        <v>16</v>
      </c>
      <c r="O94" s="11">
        <v>3</v>
      </c>
      <c r="P94">
        <f>SUMPRODUCT($A$2:$L$2,'Survey Encoding'!C95:N95)</f>
        <v>0.15000228289066947</v>
      </c>
      <c r="Q94">
        <f>SUMPRODUCT($A$2:$L$2,'Survey Encoding'!O95:Z95)</f>
        <v>-0.5677340101284214</v>
      </c>
      <c r="R94">
        <f>SUMPRODUCT($A$2:$L$2,'Survey Encoding'!AA95:AL95)</f>
        <v>0.7637752520424238</v>
      </c>
      <c r="S94">
        <f>SUMPRODUCT($A$2:$L$2,'Survey Encoding'!AM95:AX95)</f>
        <v>-0.31352815855853916</v>
      </c>
      <c r="U94" s="11">
        <v>16</v>
      </c>
      <c r="V94" s="11">
        <v>3</v>
      </c>
      <c r="W94" s="1">
        <f t="shared" si="9"/>
        <v>1.1618368950718627</v>
      </c>
      <c r="X94" s="1">
        <f t="shared" si="10"/>
        <v>0.56680836661762923</v>
      </c>
      <c r="Y94" s="1">
        <f t="shared" si="11"/>
        <v>2.1463640092801262</v>
      </c>
      <c r="Z94" s="1">
        <f t="shared" si="12"/>
        <v>0.73086379864279061</v>
      </c>
      <c r="AB94" s="11">
        <v>16</v>
      </c>
      <c r="AC94" s="11">
        <v>3</v>
      </c>
      <c r="AD94">
        <f t="shared" si="13"/>
        <v>0.25225117529555219</v>
      </c>
      <c r="AE94">
        <f t="shared" si="14"/>
        <v>0.12306209008606635</v>
      </c>
      <c r="AF94">
        <f t="shared" si="16"/>
        <v>0.46600589656734631</v>
      </c>
      <c r="AG94">
        <f t="shared" si="16"/>
        <v>0.15868083805103511</v>
      </c>
      <c r="AI94" s="11">
        <v>16</v>
      </c>
      <c r="AJ94" s="11">
        <v>3</v>
      </c>
      <c r="AK94">
        <f>SUMPRODUCT(AD94:AG94,'Coded Choice Data'!C94:F94)</f>
        <v>0.25225117529555219</v>
      </c>
      <c r="AL94">
        <f t="shared" si="15"/>
        <v>-1.3773299605103049</v>
      </c>
    </row>
    <row r="95" spans="14:38" x14ac:dyDescent="0.3">
      <c r="N95" s="11">
        <v>16</v>
      </c>
      <c r="O95" s="11">
        <v>4</v>
      </c>
      <c r="P95">
        <f>SUMPRODUCT($A$2:$L$2,'Survey Encoding'!C96:N96)</f>
        <v>0.95180473721565084</v>
      </c>
      <c r="Q95">
        <f>SUMPRODUCT($A$2:$L$2,'Survey Encoding'!O96:Z96)</f>
        <v>1.0311076931258887</v>
      </c>
      <c r="R95">
        <f>SUMPRODUCT($A$2:$L$2,'Survey Encoding'!AA96:AL96)</f>
        <v>1.1267499129920266</v>
      </c>
      <c r="S95">
        <f>SUMPRODUCT($A$2:$L$2,'Survey Encoding'!AM96:AX96)</f>
        <v>-0.31352815855853916</v>
      </c>
      <c r="U95" s="11">
        <v>16</v>
      </c>
      <c r="V95" s="11">
        <v>4</v>
      </c>
      <c r="W95" s="1">
        <f t="shared" si="9"/>
        <v>2.5903803992282071</v>
      </c>
      <c r="X95" s="1">
        <f t="shared" si="10"/>
        <v>2.8041702751355775</v>
      </c>
      <c r="Y95" s="1">
        <f t="shared" si="11"/>
        <v>3.0856116792654009</v>
      </c>
      <c r="Z95" s="1">
        <f t="shared" si="12"/>
        <v>0.73086379864279061</v>
      </c>
      <c r="AB95" s="11">
        <v>16</v>
      </c>
      <c r="AC95" s="11">
        <v>4</v>
      </c>
      <c r="AD95">
        <f t="shared" si="13"/>
        <v>0.28122603892393339</v>
      </c>
      <c r="AE95">
        <f t="shared" si="14"/>
        <v>0.30443625159438997</v>
      </c>
      <c r="AF95">
        <f t="shared" si="16"/>
        <v>0.33499108875120381</v>
      </c>
      <c r="AG95">
        <f t="shared" si="16"/>
        <v>7.9346620730472786E-2</v>
      </c>
      <c r="AI95" s="11">
        <v>16</v>
      </c>
      <c r="AJ95" s="11">
        <v>4</v>
      </c>
      <c r="AK95">
        <f>SUMPRODUCT(AD95:AG95,'Coded Choice Data'!C95:F95)</f>
        <v>0.28122603892393339</v>
      </c>
      <c r="AL95">
        <f t="shared" si="15"/>
        <v>-1.2685965240299277</v>
      </c>
    </row>
    <row r="96" spans="14:38" x14ac:dyDescent="0.3">
      <c r="N96" s="11">
        <v>16</v>
      </c>
      <c r="O96" s="11">
        <v>5</v>
      </c>
      <c r="P96">
        <f>SUMPRODUCT($A$2:$L$2,'Survey Encoding'!C97:N97)</f>
        <v>1.3885885502977624</v>
      </c>
      <c r="Q96">
        <f>SUMPRODUCT($A$2:$L$2,'Survey Encoding'!O97:Z97)</f>
        <v>1.4106531441928372</v>
      </c>
      <c r="R96">
        <f>SUMPRODUCT($A$2:$L$2,'Survey Encoding'!AA97:AL97)</f>
        <v>1.1267499129920266</v>
      </c>
      <c r="S96">
        <f>SUMPRODUCT($A$2:$L$2,'Survey Encoding'!AM97:AX97)</f>
        <v>-0.31352815855853916</v>
      </c>
      <c r="U96" s="11">
        <v>16</v>
      </c>
      <c r="V96" s="11">
        <v>5</v>
      </c>
      <c r="W96" s="1">
        <f t="shared" si="9"/>
        <v>4.0091872913740838</v>
      </c>
      <c r="X96" s="1">
        <f t="shared" si="10"/>
        <v>4.0986315274095384</v>
      </c>
      <c r="Y96" s="1">
        <f t="shared" si="11"/>
        <v>3.0856116792654009</v>
      </c>
      <c r="Z96" s="1">
        <f t="shared" si="12"/>
        <v>0.73086379864279061</v>
      </c>
      <c r="AB96" s="11">
        <v>16</v>
      </c>
      <c r="AC96" s="11">
        <v>5</v>
      </c>
      <c r="AD96">
        <f t="shared" si="13"/>
        <v>0.33622008914073537</v>
      </c>
      <c r="AE96">
        <f t="shared" si="14"/>
        <v>0.34372109790569594</v>
      </c>
      <c r="AF96">
        <f t="shared" si="16"/>
        <v>0.25876681692781178</v>
      </c>
      <c r="AG96">
        <f t="shared" si="16"/>
        <v>6.1291996025756926E-2</v>
      </c>
      <c r="AI96" s="11">
        <v>16</v>
      </c>
      <c r="AJ96" s="11">
        <v>5</v>
      </c>
      <c r="AK96">
        <f>SUMPRODUCT(AD96:AG96,'Coded Choice Data'!C96:F96)</f>
        <v>0.33622008914073537</v>
      </c>
      <c r="AL96">
        <f t="shared" si="15"/>
        <v>-1.0899893062510464</v>
      </c>
    </row>
    <row r="97" spans="14:38" x14ac:dyDescent="0.3">
      <c r="N97" s="11">
        <v>16</v>
      </c>
      <c r="O97" s="11">
        <v>6</v>
      </c>
      <c r="P97">
        <f>SUMPRODUCT($A$2:$L$2,'Survey Encoding'!C98:N98)</f>
        <v>-1.1407000318204914</v>
      </c>
      <c r="Q97">
        <f>SUMPRODUCT($A$2:$L$2,'Survey Encoding'!O98:Z98)</f>
        <v>0.66877574618081503</v>
      </c>
      <c r="R97">
        <f>SUMPRODUCT($A$2:$L$2,'Survey Encoding'!AA98:AL98)</f>
        <v>0.15000228289066947</v>
      </c>
      <c r="S97">
        <f>SUMPRODUCT($A$2:$L$2,'Survey Encoding'!AM98:AX98)</f>
        <v>-0.31352815855853916</v>
      </c>
      <c r="U97" s="11">
        <v>16</v>
      </c>
      <c r="V97" s="11">
        <v>6</v>
      </c>
      <c r="W97" s="1">
        <f t="shared" si="9"/>
        <v>0.31959521666873603</v>
      </c>
      <c r="X97" s="1">
        <f t="shared" si="10"/>
        <v>1.9518463020380199</v>
      </c>
      <c r="Y97" s="1">
        <f t="shared" si="11"/>
        <v>1.1618368950718627</v>
      </c>
      <c r="Z97" s="1">
        <f t="shared" si="12"/>
        <v>0.73086379864279061</v>
      </c>
      <c r="AB97" s="11">
        <v>16</v>
      </c>
      <c r="AC97" s="11">
        <v>6</v>
      </c>
      <c r="AD97">
        <f t="shared" si="13"/>
        <v>7.6749352055124564E-2</v>
      </c>
      <c r="AE97">
        <f t="shared" si="14"/>
        <v>0.46872709971714432</v>
      </c>
      <c r="AF97">
        <f t="shared" si="16"/>
        <v>0.27900989827056494</v>
      </c>
      <c r="AG97">
        <f t="shared" si="16"/>
        <v>0.17551364995716615</v>
      </c>
      <c r="AI97" s="11">
        <v>16</v>
      </c>
      <c r="AJ97" s="11">
        <v>6</v>
      </c>
      <c r="AK97">
        <f>SUMPRODUCT(AD97:AG97,'Coded Choice Data'!C97:F97)</f>
        <v>0.27900989827056494</v>
      </c>
      <c r="AL97">
        <f t="shared" si="15"/>
        <v>-1.2765080201178134</v>
      </c>
    </row>
    <row r="98" spans="14:38" x14ac:dyDescent="0.3">
      <c r="N98" s="11">
        <v>17</v>
      </c>
      <c r="O98" s="11">
        <v>1</v>
      </c>
      <c r="P98">
        <f>SUMPRODUCT($A$2:$L$2,'Survey Encoding'!C99:N99)</f>
        <v>-0.5677340101284214</v>
      </c>
      <c r="Q98">
        <f>SUMPRODUCT($A$2:$L$2,'Survey Encoding'!O99:Z99)</f>
        <v>-0.45781983272127458</v>
      </c>
      <c r="R98">
        <f>SUMPRODUCT($A$2:$L$2,'Survey Encoding'!AA99:AL99)</f>
        <v>-1.1407000318204914</v>
      </c>
      <c r="S98">
        <f>SUMPRODUCT($A$2:$L$2,'Survey Encoding'!AM99:AX99)</f>
        <v>-0.31352815855853916</v>
      </c>
      <c r="U98" s="11">
        <v>17</v>
      </c>
      <c r="V98" s="11">
        <v>1</v>
      </c>
      <c r="W98" s="1">
        <f t="shared" si="9"/>
        <v>0.56680836661762923</v>
      </c>
      <c r="X98" s="1">
        <f t="shared" si="10"/>
        <v>0.63266145083175696</v>
      </c>
      <c r="Y98" s="1">
        <f t="shared" si="11"/>
        <v>0.31959521666873603</v>
      </c>
      <c r="Z98" s="1">
        <f t="shared" si="12"/>
        <v>0.73086379864279061</v>
      </c>
      <c r="AB98" s="11">
        <v>17</v>
      </c>
      <c r="AC98" s="11">
        <v>1</v>
      </c>
      <c r="AD98">
        <f t="shared" si="13"/>
        <v>0.25192279789671945</v>
      </c>
      <c r="AE98">
        <f t="shared" si="14"/>
        <v>0.28119176109913269</v>
      </c>
      <c r="AF98">
        <f t="shared" si="16"/>
        <v>0.14204681144361231</v>
      </c>
      <c r="AG98">
        <f t="shared" si="16"/>
        <v>0.32483862956053577</v>
      </c>
      <c r="AI98" s="11">
        <v>17</v>
      </c>
      <c r="AJ98" s="11">
        <v>1</v>
      </c>
      <c r="AK98">
        <f>SUMPRODUCT(AD98:AG98,'Coded Choice Data'!C98:F98)</f>
        <v>0.28119176109913269</v>
      </c>
      <c r="AL98">
        <f t="shared" si="15"/>
        <v>-1.2687184185533291</v>
      </c>
    </row>
    <row r="99" spans="14:38" x14ac:dyDescent="0.3">
      <c r="N99" s="11">
        <v>17</v>
      </c>
      <c r="O99" s="11">
        <v>2</v>
      </c>
      <c r="P99">
        <f>SUMPRODUCT($A$2:$L$2,'Survey Encoding'!C100:N100)</f>
        <v>1.0311076931258887</v>
      </c>
      <c r="Q99">
        <f>SUMPRODUCT($A$2:$L$2,'Survey Encoding'!O100:Z100)</f>
        <v>1.3885885502977624</v>
      </c>
      <c r="R99">
        <f>SUMPRODUCT($A$2:$L$2,'Survey Encoding'!AA100:AL100)</f>
        <v>0.7637752520424238</v>
      </c>
      <c r="S99">
        <f>SUMPRODUCT($A$2:$L$2,'Survey Encoding'!AM100:AX100)</f>
        <v>-0.31352815855853916</v>
      </c>
      <c r="U99" s="11">
        <v>17</v>
      </c>
      <c r="V99" s="11">
        <v>2</v>
      </c>
      <c r="W99" s="1">
        <f t="shared" si="9"/>
        <v>2.8041702751355775</v>
      </c>
      <c r="X99" s="1">
        <f t="shared" si="10"/>
        <v>4.0091872913740838</v>
      </c>
      <c r="Y99" s="1">
        <f t="shared" si="11"/>
        <v>2.1463640092801262</v>
      </c>
      <c r="Z99" s="1">
        <f t="shared" si="12"/>
        <v>0.73086379864279061</v>
      </c>
      <c r="AB99" s="11">
        <v>17</v>
      </c>
      <c r="AC99" s="11">
        <v>2</v>
      </c>
      <c r="AD99">
        <f t="shared" si="13"/>
        <v>0.28937057636724789</v>
      </c>
      <c r="AE99">
        <f t="shared" si="14"/>
        <v>0.41371982563115672</v>
      </c>
      <c r="AF99">
        <f t="shared" si="16"/>
        <v>0.22148961351117596</v>
      </c>
      <c r="AG99">
        <f t="shared" si="16"/>
        <v>7.5419984490419451E-2</v>
      </c>
      <c r="AI99" s="11">
        <v>17</v>
      </c>
      <c r="AJ99" s="11">
        <v>2</v>
      </c>
      <c r="AK99">
        <f>SUMPRODUCT(AD99:AG99,'Coded Choice Data'!C99:F99)</f>
        <v>0.41371982563115672</v>
      </c>
      <c r="AL99">
        <f t="shared" si="15"/>
        <v>-0.88256628393845316</v>
      </c>
    </row>
    <row r="100" spans="14:38" x14ac:dyDescent="0.3">
      <c r="N100" s="11">
        <v>17</v>
      </c>
      <c r="O100" s="11">
        <v>3</v>
      </c>
      <c r="P100">
        <f>SUMPRODUCT($A$2:$L$2,'Survey Encoding'!C101:N101)</f>
        <v>0.15000228289066947</v>
      </c>
      <c r="Q100">
        <f>SUMPRODUCT($A$2:$L$2,'Survey Encoding'!O101:Z101)</f>
        <v>-0.5677340101284214</v>
      </c>
      <c r="R100">
        <f>SUMPRODUCT($A$2:$L$2,'Survey Encoding'!AA101:AL101)</f>
        <v>0.7637752520424238</v>
      </c>
      <c r="S100">
        <f>SUMPRODUCT($A$2:$L$2,'Survey Encoding'!AM101:AX101)</f>
        <v>-0.31352815855853916</v>
      </c>
      <c r="U100" s="11">
        <v>17</v>
      </c>
      <c r="V100" s="11">
        <v>3</v>
      </c>
      <c r="W100" s="1">
        <f t="shared" si="9"/>
        <v>1.1618368950718627</v>
      </c>
      <c r="X100" s="1">
        <f t="shared" si="10"/>
        <v>0.56680836661762923</v>
      </c>
      <c r="Y100" s="1">
        <f t="shared" si="11"/>
        <v>2.1463640092801262</v>
      </c>
      <c r="Z100" s="1">
        <f t="shared" si="12"/>
        <v>0.73086379864279061</v>
      </c>
      <c r="AB100" s="11">
        <v>17</v>
      </c>
      <c r="AC100" s="11">
        <v>3</v>
      </c>
      <c r="AD100">
        <f t="shared" si="13"/>
        <v>0.25225117529555219</v>
      </c>
      <c r="AE100">
        <f t="shared" si="14"/>
        <v>0.12306209008606635</v>
      </c>
      <c r="AF100">
        <f t="shared" si="16"/>
        <v>0.46600589656734631</v>
      </c>
      <c r="AG100">
        <f t="shared" si="16"/>
        <v>0.15868083805103511</v>
      </c>
      <c r="AI100" s="11">
        <v>17</v>
      </c>
      <c r="AJ100" s="11">
        <v>3</v>
      </c>
      <c r="AK100">
        <f>SUMPRODUCT(AD100:AG100,'Coded Choice Data'!C100:F100)</f>
        <v>0.12306209008606635</v>
      </c>
      <c r="AL100">
        <f t="shared" si="15"/>
        <v>-2.0950662535293958</v>
      </c>
    </row>
    <row r="101" spans="14:38" x14ac:dyDescent="0.3">
      <c r="N101" s="11">
        <v>17</v>
      </c>
      <c r="O101" s="11">
        <v>4</v>
      </c>
      <c r="P101">
        <f>SUMPRODUCT($A$2:$L$2,'Survey Encoding'!C102:N102)</f>
        <v>0.95180473721565084</v>
      </c>
      <c r="Q101">
        <f>SUMPRODUCT($A$2:$L$2,'Survey Encoding'!O102:Z102)</f>
        <v>1.0311076931258887</v>
      </c>
      <c r="R101">
        <f>SUMPRODUCT($A$2:$L$2,'Survey Encoding'!AA102:AL102)</f>
        <v>1.1267499129920266</v>
      </c>
      <c r="S101">
        <f>SUMPRODUCT($A$2:$L$2,'Survey Encoding'!AM102:AX102)</f>
        <v>-0.31352815855853916</v>
      </c>
      <c r="U101" s="11">
        <v>17</v>
      </c>
      <c r="V101" s="11">
        <v>4</v>
      </c>
      <c r="W101" s="1">
        <f t="shared" si="9"/>
        <v>2.5903803992282071</v>
      </c>
      <c r="X101" s="1">
        <f t="shared" si="10"/>
        <v>2.8041702751355775</v>
      </c>
      <c r="Y101" s="1">
        <f t="shared" si="11"/>
        <v>3.0856116792654009</v>
      </c>
      <c r="Z101" s="1">
        <f t="shared" si="12"/>
        <v>0.73086379864279061</v>
      </c>
      <c r="AB101" s="11">
        <v>17</v>
      </c>
      <c r="AC101" s="11">
        <v>4</v>
      </c>
      <c r="AD101">
        <f t="shared" si="13"/>
        <v>0.28122603892393339</v>
      </c>
      <c r="AE101">
        <f t="shared" si="14"/>
        <v>0.30443625159438997</v>
      </c>
      <c r="AF101">
        <f t="shared" si="16"/>
        <v>0.33499108875120381</v>
      </c>
      <c r="AG101">
        <f t="shared" si="16"/>
        <v>7.9346620730472786E-2</v>
      </c>
      <c r="AI101" s="11">
        <v>17</v>
      </c>
      <c r="AJ101" s="11">
        <v>4</v>
      </c>
      <c r="AK101">
        <f>SUMPRODUCT(AD101:AG101,'Coded Choice Data'!C101:F101)</f>
        <v>0.28122603892393339</v>
      </c>
      <c r="AL101">
        <f t="shared" si="15"/>
        <v>-1.2685965240299277</v>
      </c>
    </row>
    <row r="102" spans="14:38" x14ac:dyDescent="0.3">
      <c r="N102" s="11">
        <v>17</v>
      </c>
      <c r="O102" s="11">
        <v>5</v>
      </c>
      <c r="P102">
        <f>SUMPRODUCT($A$2:$L$2,'Survey Encoding'!C103:N103)</f>
        <v>1.3885885502977624</v>
      </c>
      <c r="Q102">
        <f>SUMPRODUCT($A$2:$L$2,'Survey Encoding'!O103:Z103)</f>
        <v>1.4106531441928372</v>
      </c>
      <c r="R102">
        <f>SUMPRODUCT($A$2:$L$2,'Survey Encoding'!AA103:AL103)</f>
        <v>1.1267499129920266</v>
      </c>
      <c r="S102">
        <f>SUMPRODUCT($A$2:$L$2,'Survey Encoding'!AM103:AX103)</f>
        <v>-0.31352815855853916</v>
      </c>
      <c r="U102" s="11">
        <v>17</v>
      </c>
      <c r="V102" s="11">
        <v>5</v>
      </c>
      <c r="W102" s="1">
        <f t="shared" si="9"/>
        <v>4.0091872913740838</v>
      </c>
      <c r="X102" s="1">
        <f t="shared" si="10"/>
        <v>4.0986315274095384</v>
      </c>
      <c r="Y102" s="1">
        <f t="shared" si="11"/>
        <v>3.0856116792654009</v>
      </c>
      <c r="Z102" s="1">
        <f t="shared" si="12"/>
        <v>0.73086379864279061</v>
      </c>
      <c r="AB102" s="11">
        <v>17</v>
      </c>
      <c r="AC102" s="11">
        <v>5</v>
      </c>
      <c r="AD102">
        <f t="shared" si="13"/>
        <v>0.33622008914073537</v>
      </c>
      <c r="AE102">
        <f t="shared" si="14"/>
        <v>0.34372109790569594</v>
      </c>
      <c r="AF102">
        <f t="shared" si="16"/>
        <v>0.25876681692781178</v>
      </c>
      <c r="AG102">
        <f t="shared" si="16"/>
        <v>6.1291996025756926E-2</v>
      </c>
      <c r="AI102" s="11">
        <v>17</v>
      </c>
      <c r="AJ102" s="11">
        <v>5</v>
      </c>
      <c r="AK102">
        <f>SUMPRODUCT(AD102:AG102,'Coded Choice Data'!C102:F102)</f>
        <v>0.33622008914073537</v>
      </c>
      <c r="AL102">
        <f t="shared" si="15"/>
        <v>-1.0899893062510464</v>
      </c>
    </row>
    <row r="103" spans="14:38" x14ac:dyDescent="0.3">
      <c r="N103" s="11">
        <v>17</v>
      </c>
      <c r="O103" s="11">
        <v>6</v>
      </c>
      <c r="P103">
        <f>SUMPRODUCT($A$2:$L$2,'Survey Encoding'!C104:N104)</f>
        <v>-1.1407000318204914</v>
      </c>
      <c r="Q103">
        <f>SUMPRODUCT($A$2:$L$2,'Survey Encoding'!O104:Z104)</f>
        <v>0.66877574618081503</v>
      </c>
      <c r="R103">
        <f>SUMPRODUCT($A$2:$L$2,'Survey Encoding'!AA104:AL104)</f>
        <v>0.15000228289066947</v>
      </c>
      <c r="S103">
        <f>SUMPRODUCT($A$2:$L$2,'Survey Encoding'!AM104:AX104)</f>
        <v>-0.31352815855853916</v>
      </c>
      <c r="U103" s="11">
        <v>17</v>
      </c>
      <c r="V103" s="11">
        <v>6</v>
      </c>
      <c r="W103" s="1">
        <f t="shared" si="9"/>
        <v>0.31959521666873603</v>
      </c>
      <c r="X103" s="1">
        <f t="shared" si="10"/>
        <v>1.9518463020380199</v>
      </c>
      <c r="Y103" s="1">
        <f t="shared" si="11"/>
        <v>1.1618368950718627</v>
      </c>
      <c r="Z103" s="1">
        <f t="shared" si="12"/>
        <v>0.73086379864279061</v>
      </c>
      <c r="AB103" s="11">
        <v>17</v>
      </c>
      <c r="AC103" s="11">
        <v>6</v>
      </c>
      <c r="AD103">
        <f t="shared" si="13"/>
        <v>7.6749352055124564E-2</v>
      </c>
      <c r="AE103">
        <f t="shared" si="14"/>
        <v>0.46872709971714432</v>
      </c>
      <c r="AF103">
        <f t="shared" si="16"/>
        <v>0.27900989827056494</v>
      </c>
      <c r="AG103">
        <f t="shared" si="16"/>
        <v>0.17551364995716615</v>
      </c>
      <c r="AI103" s="11">
        <v>17</v>
      </c>
      <c r="AJ103" s="11">
        <v>6</v>
      </c>
      <c r="AK103">
        <f>SUMPRODUCT(AD103:AG103,'Coded Choice Data'!C103:F103)</f>
        <v>7.6749352055124564E-2</v>
      </c>
      <c r="AL103">
        <f t="shared" si="15"/>
        <v>-2.5672103348289741</v>
      </c>
    </row>
    <row r="104" spans="14:38" x14ac:dyDescent="0.3">
      <c r="N104" s="11">
        <v>18</v>
      </c>
      <c r="O104" s="11">
        <v>1</v>
      </c>
      <c r="P104">
        <f>SUMPRODUCT($A$2:$L$2,'Survey Encoding'!C105:N105)</f>
        <v>-0.5677340101284214</v>
      </c>
      <c r="Q104">
        <f>SUMPRODUCT($A$2:$L$2,'Survey Encoding'!O105:Z105)</f>
        <v>-0.45781983272127458</v>
      </c>
      <c r="R104">
        <f>SUMPRODUCT($A$2:$L$2,'Survey Encoding'!AA105:AL105)</f>
        <v>-1.1407000318204914</v>
      </c>
      <c r="S104">
        <f>SUMPRODUCT($A$2:$L$2,'Survey Encoding'!AM105:AX105)</f>
        <v>-0.31352815855853916</v>
      </c>
      <c r="U104" s="11">
        <v>18</v>
      </c>
      <c r="V104" s="11">
        <v>1</v>
      </c>
      <c r="W104" s="1">
        <f t="shared" si="9"/>
        <v>0.56680836661762923</v>
      </c>
      <c r="X104" s="1">
        <f t="shared" si="10"/>
        <v>0.63266145083175696</v>
      </c>
      <c r="Y104" s="1">
        <f t="shared" si="11"/>
        <v>0.31959521666873603</v>
      </c>
      <c r="Z104" s="1">
        <f t="shared" si="12"/>
        <v>0.73086379864279061</v>
      </c>
      <c r="AB104" s="11">
        <v>18</v>
      </c>
      <c r="AC104" s="11">
        <v>1</v>
      </c>
      <c r="AD104">
        <f t="shared" si="13"/>
        <v>0.25192279789671945</v>
      </c>
      <c r="AE104">
        <f t="shared" si="14"/>
        <v>0.28119176109913269</v>
      </c>
      <c r="AF104">
        <f t="shared" si="16"/>
        <v>0.14204681144361231</v>
      </c>
      <c r="AG104">
        <f t="shared" si="16"/>
        <v>0.32483862956053577</v>
      </c>
      <c r="AI104" s="11">
        <v>18</v>
      </c>
      <c r="AJ104" s="11">
        <v>1</v>
      </c>
      <c r="AK104">
        <f>SUMPRODUCT(AD104:AG104,'Coded Choice Data'!C104:F104)</f>
        <v>0.32483862956053577</v>
      </c>
      <c r="AL104">
        <f t="shared" si="15"/>
        <v>-1.1244267443905935</v>
      </c>
    </row>
    <row r="105" spans="14:38" x14ac:dyDescent="0.3">
      <c r="N105" s="11">
        <v>18</v>
      </c>
      <c r="O105" s="11">
        <v>2</v>
      </c>
      <c r="P105">
        <f>SUMPRODUCT($A$2:$L$2,'Survey Encoding'!C106:N106)</f>
        <v>1.0311076931258887</v>
      </c>
      <c r="Q105">
        <f>SUMPRODUCT($A$2:$L$2,'Survey Encoding'!O106:Z106)</f>
        <v>1.3885885502977624</v>
      </c>
      <c r="R105">
        <f>SUMPRODUCT($A$2:$L$2,'Survey Encoding'!AA106:AL106)</f>
        <v>0.7637752520424238</v>
      </c>
      <c r="S105">
        <f>SUMPRODUCT($A$2:$L$2,'Survey Encoding'!AM106:AX106)</f>
        <v>-0.31352815855853916</v>
      </c>
      <c r="U105" s="11">
        <v>18</v>
      </c>
      <c r="V105" s="11">
        <v>2</v>
      </c>
      <c r="W105" s="1">
        <f t="shared" si="9"/>
        <v>2.8041702751355775</v>
      </c>
      <c r="X105" s="1">
        <f t="shared" si="10"/>
        <v>4.0091872913740838</v>
      </c>
      <c r="Y105" s="1">
        <f t="shared" si="11"/>
        <v>2.1463640092801262</v>
      </c>
      <c r="Z105" s="1">
        <f t="shared" si="12"/>
        <v>0.73086379864279061</v>
      </c>
      <c r="AB105" s="11">
        <v>18</v>
      </c>
      <c r="AC105" s="11">
        <v>2</v>
      </c>
      <c r="AD105">
        <f t="shared" si="13"/>
        <v>0.28937057636724789</v>
      </c>
      <c r="AE105">
        <f t="shared" si="14"/>
        <v>0.41371982563115672</v>
      </c>
      <c r="AF105">
        <f t="shared" si="16"/>
        <v>0.22148961351117596</v>
      </c>
      <c r="AG105">
        <f t="shared" si="16"/>
        <v>7.5419984490419451E-2</v>
      </c>
      <c r="AI105" s="11">
        <v>18</v>
      </c>
      <c r="AJ105" s="11">
        <v>2</v>
      </c>
      <c r="AK105">
        <f>SUMPRODUCT(AD105:AG105,'Coded Choice Data'!C105:F105)</f>
        <v>0.28937057636724789</v>
      </c>
      <c r="AL105">
        <f t="shared" si="15"/>
        <v>-1.2400471411103269</v>
      </c>
    </row>
    <row r="106" spans="14:38" x14ac:dyDescent="0.3">
      <c r="N106" s="11">
        <v>18</v>
      </c>
      <c r="O106" s="11">
        <v>3</v>
      </c>
      <c r="P106">
        <f>SUMPRODUCT($A$2:$L$2,'Survey Encoding'!C107:N107)</f>
        <v>0.15000228289066947</v>
      </c>
      <c r="Q106">
        <f>SUMPRODUCT($A$2:$L$2,'Survey Encoding'!O107:Z107)</f>
        <v>-0.5677340101284214</v>
      </c>
      <c r="R106">
        <f>SUMPRODUCT($A$2:$L$2,'Survey Encoding'!AA107:AL107)</f>
        <v>0.7637752520424238</v>
      </c>
      <c r="S106">
        <f>SUMPRODUCT($A$2:$L$2,'Survey Encoding'!AM107:AX107)</f>
        <v>-0.31352815855853916</v>
      </c>
      <c r="U106" s="11">
        <v>18</v>
      </c>
      <c r="V106" s="11">
        <v>3</v>
      </c>
      <c r="W106" s="1">
        <f t="shared" si="9"/>
        <v>1.1618368950718627</v>
      </c>
      <c r="X106" s="1">
        <f t="shared" si="10"/>
        <v>0.56680836661762923</v>
      </c>
      <c r="Y106" s="1">
        <f t="shared" si="11"/>
        <v>2.1463640092801262</v>
      </c>
      <c r="Z106" s="1">
        <f t="shared" si="12"/>
        <v>0.73086379864279061</v>
      </c>
      <c r="AB106" s="11">
        <v>18</v>
      </c>
      <c r="AC106" s="11">
        <v>3</v>
      </c>
      <c r="AD106">
        <f t="shared" si="13"/>
        <v>0.25225117529555219</v>
      </c>
      <c r="AE106">
        <f t="shared" si="14"/>
        <v>0.12306209008606635</v>
      </c>
      <c r="AF106">
        <f t="shared" si="16"/>
        <v>0.46600589656734631</v>
      </c>
      <c r="AG106">
        <f t="shared" si="16"/>
        <v>0.15868083805103511</v>
      </c>
      <c r="AI106" s="11">
        <v>18</v>
      </c>
      <c r="AJ106" s="11">
        <v>3</v>
      </c>
      <c r="AK106">
        <f>SUMPRODUCT(AD106:AG106,'Coded Choice Data'!C106:F106)</f>
        <v>0.46600589656734631</v>
      </c>
      <c r="AL106">
        <f t="shared" si="15"/>
        <v>-0.7635569913585506</v>
      </c>
    </row>
    <row r="107" spans="14:38" x14ac:dyDescent="0.3">
      <c r="N107" s="11">
        <v>18</v>
      </c>
      <c r="O107" s="11">
        <v>4</v>
      </c>
      <c r="P107">
        <f>SUMPRODUCT($A$2:$L$2,'Survey Encoding'!C108:N108)</f>
        <v>0.95180473721565084</v>
      </c>
      <c r="Q107">
        <f>SUMPRODUCT($A$2:$L$2,'Survey Encoding'!O108:Z108)</f>
        <v>1.0311076931258887</v>
      </c>
      <c r="R107">
        <f>SUMPRODUCT($A$2:$L$2,'Survey Encoding'!AA108:AL108)</f>
        <v>1.1267499129920266</v>
      </c>
      <c r="S107">
        <f>SUMPRODUCT($A$2:$L$2,'Survey Encoding'!AM108:AX108)</f>
        <v>-0.31352815855853916</v>
      </c>
      <c r="U107" s="11">
        <v>18</v>
      </c>
      <c r="V107" s="11">
        <v>4</v>
      </c>
      <c r="W107" s="1">
        <f t="shared" si="9"/>
        <v>2.5903803992282071</v>
      </c>
      <c r="X107" s="1">
        <f t="shared" si="10"/>
        <v>2.8041702751355775</v>
      </c>
      <c r="Y107" s="1">
        <f t="shared" si="11"/>
        <v>3.0856116792654009</v>
      </c>
      <c r="Z107" s="1">
        <f t="shared" si="12"/>
        <v>0.73086379864279061</v>
      </c>
      <c r="AB107" s="11">
        <v>18</v>
      </c>
      <c r="AC107" s="11">
        <v>4</v>
      </c>
      <c r="AD107">
        <f t="shared" si="13"/>
        <v>0.28122603892393339</v>
      </c>
      <c r="AE107">
        <f t="shared" si="14"/>
        <v>0.30443625159438997</v>
      </c>
      <c r="AF107">
        <f t="shared" si="16"/>
        <v>0.33499108875120381</v>
      </c>
      <c r="AG107">
        <f t="shared" si="16"/>
        <v>7.9346620730472786E-2</v>
      </c>
      <c r="AI107" s="11">
        <v>18</v>
      </c>
      <c r="AJ107" s="11">
        <v>4</v>
      </c>
      <c r="AK107">
        <f>SUMPRODUCT(AD107:AG107,'Coded Choice Data'!C107:F107)</f>
        <v>0.30443625159438997</v>
      </c>
      <c r="AL107">
        <f t="shared" si="15"/>
        <v>-1.1892935681196899</v>
      </c>
    </row>
    <row r="108" spans="14:38" x14ac:dyDescent="0.3">
      <c r="N108" s="11">
        <v>18</v>
      </c>
      <c r="O108" s="11">
        <v>5</v>
      </c>
      <c r="P108">
        <f>SUMPRODUCT($A$2:$L$2,'Survey Encoding'!C109:N109)</f>
        <v>1.3885885502977624</v>
      </c>
      <c r="Q108">
        <f>SUMPRODUCT($A$2:$L$2,'Survey Encoding'!O109:Z109)</f>
        <v>1.4106531441928372</v>
      </c>
      <c r="R108">
        <f>SUMPRODUCT($A$2:$L$2,'Survey Encoding'!AA109:AL109)</f>
        <v>1.1267499129920266</v>
      </c>
      <c r="S108">
        <f>SUMPRODUCT($A$2:$L$2,'Survey Encoding'!AM109:AX109)</f>
        <v>-0.31352815855853916</v>
      </c>
      <c r="U108" s="11">
        <v>18</v>
      </c>
      <c r="V108" s="11">
        <v>5</v>
      </c>
      <c r="W108" s="1">
        <f t="shared" si="9"/>
        <v>4.0091872913740838</v>
      </c>
      <c r="X108" s="1">
        <f t="shared" si="10"/>
        <v>4.0986315274095384</v>
      </c>
      <c r="Y108" s="1">
        <f t="shared" si="11"/>
        <v>3.0856116792654009</v>
      </c>
      <c r="Z108" s="1">
        <f t="shared" si="12"/>
        <v>0.73086379864279061</v>
      </c>
      <c r="AB108" s="11">
        <v>18</v>
      </c>
      <c r="AC108" s="11">
        <v>5</v>
      </c>
      <c r="AD108">
        <f t="shared" si="13"/>
        <v>0.33622008914073537</v>
      </c>
      <c r="AE108">
        <f t="shared" si="14"/>
        <v>0.34372109790569594</v>
      </c>
      <c r="AF108">
        <f t="shared" si="16"/>
        <v>0.25876681692781178</v>
      </c>
      <c r="AG108">
        <f t="shared" si="16"/>
        <v>6.1291996025756926E-2</v>
      </c>
      <c r="AI108" s="11">
        <v>18</v>
      </c>
      <c r="AJ108" s="11">
        <v>5</v>
      </c>
      <c r="AK108">
        <f>SUMPRODUCT(AD108:AG108,'Coded Choice Data'!C108:F108)</f>
        <v>0.34372109790569594</v>
      </c>
      <c r="AL108">
        <f t="shared" si="15"/>
        <v>-1.0679247123559716</v>
      </c>
    </row>
    <row r="109" spans="14:38" x14ac:dyDescent="0.3">
      <c r="N109" s="11">
        <v>18</v>
      </c>
      <c r="O109" s="11">
        <v>6</v>
      </c>
      <c r="P109">
        <f>SUMPRODUCT($A$2:$L$2,'Survey Encoding'!C110:N110)</f>
        <v>-1.1407000318204914</v>
      </c>
      <c r="Q109">
        <f>SUMPRODUCT($A$2:$L$2,'Survey Encoding'!O110:Z110)</f>
        <v>0.66877574618081503</v>
      </c>
      <c r="R109">
        <f>SUMPRODUCT($A$2:$L$2,'Survey Encoding'!AA110:AL110)</f>
        <v>0.15000228289066947</v>
      </c>
      <c r="S109">
        <f>SUMPRODUCT($A$2:$L$2,'Survey Encoding'!AM110:AX110)</f>
        <v>-0.31352815855853916</v>
      </c>
      <c r="U109" s="11">
        <v>18</v>
      </c>
      <c r="V109" s="11">
        <v>6</v>
      </c>
      <c r="W109" s="1">
        <f t="shared" si="9"/>
        <v>0.31959521666873603</v>
      </c>
      <c r="X109" s="1">
        <f t="shared" si="10"/>
        <v>1.9518463020380199</v>
      </c>
      <c r="Y109" s="1">
        <f t="shared" si="11"/>
        <v>1.1618368950718627</v>
      </c>
      <c r="Z109" s="1">
        <f t="shared" si="12"/>
        <v>0.73086379864279061</v>
      </c>
      <c r="AB109" s="11">
        <v>18</v>
      </c>
      <c r="AC109" s="11">
        <v>6</v>
      </c>
      <c r="AD109">
        <f t="shared" si="13"/>
        <v>7.6749352055124564E-2</v>
      </c>
      <c r="AE109">
        <f t="shared" si="14"/>
        <v>0.46872709971714432</v>
      </c>
      <c r="AF109">
        <f t="shared" si="16"/>
        <v>0.27900989827056494</v>
      </c>
      <c r="AG109">
        <f t="shared" si="16"/>
        <v>0.17551364995716615</v>
      </c>
      <c r="AI109" s="11">
        <v>18</v>
      </c>
      <c r="AJ109" s="11">
        <v>6</v>
      </c>
      <c r="AK109">
        <f>SUMPRODUCT(AD109:AG109,'Coded Choice Data'!C109:F109)</f>
        <v>0.46872709971714432</v>
      </c>
      <c r="AL109">
        <f t="shared" si="15"/>
        <v>-0.75773455682766766</v>
      </c>
    </row>
    <row r="110" spans="14:38" x14ac:dyDescent="0.3">
      <c r="N110" s="11">
        <v>19</v>
      </c>
      <c r="O110" s="11">
        <v>1</v>
      </c>
      <c r="P110">
        <f>SUMPRODUCT($A$2:$L$2,'Survey Encoding'!C111:N111)</f>
        <v>-0.5677340101284214</v>
      </c>
      <c r="Q110">
        <f>SUMPRODUCT($A$2:$L$2,'Survey Encoding'!O111:Z111)</f>
        <v>-0.45781983272127458</v>
      </c>
      <c r="R110">
        <f>SUMPRODUCT($A$2:$L$2,'Survey Encoding'!AA111:AL111)</f>
        <v>-1.1407000318204914</v>
      </c>
      <c r="S110">
        <f>SUMPRODUCT($A$2:$L$2,'Survey Encoding'!AM111:AX111)</f>
        <v>-0.31352815855853916</v>
      </c>
      <c r="U110" s="11">
        <v>19</v>
      </c>
      <c r="V110" s="11">
        <v>1</v>
      </c>
      <c r="W110" s="1">
        <f t="shared" si="9"/>
        <v>0.56680836661762923</v>
      </c>
      <c r="X110" s="1">
        <f t="shared" si="10"/>
        <v>0.63266145083175696</v>
      </c>
      <c r="Y110" s="1">
        <f t="shared" si="11"/>
        <v>0.31959521666873603</v>
      </c>
      <c r="Z110" s="1">
        <f t="shared" si="12"/>
        <v>0.73086379864279061</v>
      </c>
      <c r="AB110" s="11">
        <v>19</v>
      </c>
      <c r="AC110" s="11">
        <v>1</v>
      </c>
      <c r="AD110">
        <f t="shared" si="13"/>
        <v>0.25192279789671945</v>
      </c>
      <c r="AE110">
        <f t="shared" si="14"/>
        <v>0.28119176109913269</v>
      </c>
      <c r="AF110">
        <f t="shared" si="16"/>
        <v>0.14204681144361231</v>
      </c>
      <c r="AG110">
        <f t="shared" si="16"/>
        <v>0.32483862956053577</v>
      </c>
      <c r="AI110" s="11">
        <v>19</v>
      </c>
      <c r="AJ110" s="11">
        <v>1</v>
      </c>
      <c r="AK110">
        <f>SUMPRODUCT(AD110:AG110,'Coded Choice Data'!C110:F110)</f>
        <v>0.25192279789671945</v>
      </c>
      <c r="AL110">
        <f t="shared" si="15"/>
        <v>-1.3786325959604759</v>
      </c>
    </row>
    <row r="111" spans="14:38" x14ac:dyDescent="0.3">
      <c r="N111" s="11">
        <v>19</v>
      </c>
      <c r="O111" s="11">
        <v>2</v>
      </c>
      <c r="P111">
        <f>SUMPRODUCT($A$2:$L$2,'Survey Encoding'!C112:N112)</f>
        <v>1.0311076931258887</v>
      </c>
      <c r="Q111">
        <f>SUMPRODUCT($A$2:$L$2,'Survey Encoding'!O112:Z112)</f>
        <v>1.3885885502977624</v>
      </c>
      <c r="R111">
        <f>SUMPRODUCT($A$2:$L$2,'Survey Encoding'!AA112:AL112)</f>
        <v>0.7637752520424238</v>
      </c>
      <c r="S111">
        <f>SUMPRODUCT($A$2:$L$2,'Survey Encoding'!AM112:AX112)</f>
        <v>-0.31352815855853916</v>
      </c>
      <c r="U111" s="11">
        <v>19</v>
      </c>
      <c r="V111" s="11">
        <v>2</v>
      </c>
      <c r="W111" s="1">
        <f t="shared" si="9"/>
        <v>2.8041702751355775</v>
      </c>
      <c r="X111" s="1">
        <f t="shared" si="10"/>
        <v>4.0091872913740838</v>
      </c>
      <c r="Y111" s="1">
        <f t="shared" si="11"/>
        <v>2.1463640092801262</v>
      </c>
      <c r="Z111" s="1">
        <f t="shared" si="12"/>
        <v>0.73086379864279061</v>
      </c>
      <c r="AB111" s="11">
        <v>19</v>
      </c>
      <c r="AC111" s="11">
        <v>2</v>
      </c>
      <c r="AD111">
        <f t="shared" si="13"/>
        <v>0.28937057636724789</v>
      </c>
      <c r="AE111">
        <f t="shared" si="14"/>
        <v>0.41371982563115672</v>
      </c>
      <c r="AF111">
        <f t="shared" si="16"/>
        <v>0.22148961351117596</v>
      </c>
      <c r="AG111">
        <f t="shared" si="16"/>
        <v>7.5419984490419451E-2</v>
      </c>
      <c r="AI111" s="11">
        <v>19</v>
      </c>
      <c r="AJ111" s="11">
        <v>2</v>
      </c>
      <c r="AK111">
        <f>SUMPRODUCT(AD111:AG111,'Coded Choice Data'!C111:F111)</f>
        <v>0.41371982563115672</v>
      </c>
      <c r="AL111">
        <f t="shared" si="15"/>
        <v>-0.88256628393845316</v>
      </c>
    </row>
    <row r="112" spans="14:38" x14ac:dyDescent="0.3">
      <c r="N112" s="11">
        <v>19</v>
      </c>
      <c r="O112" s="11">
        <v>3</v>
      </c>
      <c r="P112">
        <f>SUMPRODUCT($A$2:$L$2,'Survey Encoding'!C113:N113)</f>
        <v>0.15000228289066947</v>
      </c>
      <c r="Q112">
        <f>SUMPRODUCT($A$2:$L$2,'Survey Encoding'!O113:Z113)</f>
        <v>-0.5677340101284214</v>
      </c>
      <c r="R112">
        <f>SUMPRODUCT($A$2:$L$2,'Survey Encoding'!AA113:AL113)</f>
        <v>0.7637752520424238</v>
      </c>
      <c r="S112">
        <f>SUMPRODUCT($A$2:$L$2,'Survey Encoding'!AM113:AX113)</f>
        <v>-0.31352815855853916</v>
      </c>
      <c r="U112" s="11">
        <v>19</v>
      </c>
      <c r="V112" s="11">
        <v>3</v>
      </c>
      <c r="W112" s="1">
        <f t="shared" si="9"/>
        <v>1.1618368950718627</v>
      </c>
      <c r="X112" s="1">
        <f t="shared" si="10"/>
        <v>0.56680836661762923</v>
      </c>
      <c r="Y112" s="1">
        <f t="shared" si="11"/>
        <v>2.1463640092801262</v>
      </c>
      <c r="Z112" s="1">
        <f t="shared" si="12"/>
        <v>0.73086379864279061</v>
      </c>
      <c r="AB112" s="11">
        <v>19</v>
      </c>
      <c r="AC112" s="11">
        <v>3</v>
      </c>
      <c r="AD112">
        <f t="shared" si="13"/>
        <v>0.25225117529555219</v>
      </c>
      <c r="AE112">
        <f t="shared" si="14"/>
        <v>0.12306209008606635</v>
      </c>
      <c r="AF112">
        <f t="shared" si="16"/>
        <v>0.46600589656734631</v>
      </c>
      <c r="AG112">
        <f t="shared" si="16"/>
        <v>0.15868083805103511</v>
      </c>
      <c r="AI112" s="11">
        <v>19</v>
      </c>
      <c r="AJ112" s="11">
        <v>3</v>
      </c>
      <c r="AK112">
        <f>SUMPRODUCT(AD112:AG112,'Coded Choice Data'!C112:F112)</f>
        <v>0.12306209008606635</v>
      </c>
      <c r="AL112">
        <f t="shared" si="15"/>
        <v>-2.0950662535293958</v>
      </c>
    </row>
    <row r="113" spans="14:38" x14ac:dyDescent="0.3">
      <c r="N113" s="11">
        <v>19</v>
      </c>
      <c r="O113" s="11">
        <v>4</v>
      </c>
      <c r="P113">
        <f>SUMPRODUCT($A$2:$L$2,'Survey Encoding'!C114:N114)</f>
        <v>0.95180473721565084</v>
      </c>
      <c r="Q113">
        <f>SUMPRODUCT($A$2:$L$2,'Survey Encoding'!O114:Z114)</f>
        <v>1.0311076931258887</v>
      </c>
      <c r="R113">
        <f>SUMPRODUCT($A$2:$L$2,'Survey Encoding'!AA114:AL114)</f>
        <v>1.1267499129920266</v>
      </c>
      <c r="S113">
        <f>SUMPRODUCT($A$2:$L$2,'Survey Encoding'!AM114:AX114)</f>
        <v>-0.31352815855853916</v>
      </c>
      <c r="U113" s="11">
        <v>19</v>
      </c>
      <c r="V113" s="11">
        <v>4</v>
      </c>
      <c r="W113" s="1">
        <f t="shared" si="9"/>
        <v>2.5903803992282071</v>
      </c>
      <c r="X113" s="1">
        <f t="shared" si="10"/>
        <v>2.8041702751355775</v>
      </c>
      <c r="Y113" s="1">
        <f t="shared" si="11"/>
        <v>3.0856116792654009</v>
      </c>
      <c r="Z113" s="1">
        <f t="shared" si="12"/>
        <v>0.73086379864279061</v>
      </c>
      <c r="AB113" s="11">
        <v>19</v>
      </c>
      <c r="AC113" s="11">
        <v>4</v>
      </c>
      <c r="AD113">
        <f t="shared" si="13"/>
        <v>0.28122603892393339</v>
      </c>
      <c r="AE113">
        <f t="shared" si="14"/>
        <v>0.30443625159438997</v>
      </c>
      <c r="AF113">
        <f t="shared" si="16"/>
        <v>0.33499108875120381</v>
      </c>
      <c r="AG113">
        <f t="shared" si="16"/>
        <v>7.9346620730472786E-2</v>
      </c>
      <c r="AI113" s="11">
        <v>19</v>
      </c>
      <c r="AJ113" s="11">
        <v>4</v>
      </c>
      <c r="AK113">
        <f>SUMPRODUCT(AD113:AG113,'Coded Choice Data'!C113:F113)</f>
        <v>0.28122603892393339</v>
      </c>
      <c r="AL113">
        <f t="shared" si="15"/>
        <v>-1.2685965240299277</v>
      </c>
    </row>
    <row r="114" spans="14:38" x14ac:dyDescent="0.3">
      <c r="N114" s="11">
        <v>19</v>
      </c>
      <c r="O114" s="11">
        <v>5</v>
      </c>
      <c r="P114">
        <f>SUMPRODUCT($A$2:$L$2,'Survey Encoding'!C115:N115)</f>
        <v>1.3885885502977624</v>
      </c>
      <c r="Q114">
        <f>SUMPRODUCT($A$2:$L$2,'Survey Encoding'!O115:Z115)</f>
        <v>1.4106531441928372</v>
      </c>
      <c r="R114">
        <f>SUMPRODUCT($A$2:$L$2,'Survey Encoding'!AA115:AL115)</f>
        <v>1.1267499129920266</v>
      </c>
      <c r="S114">
        <f>SUMPRODUCT($A$2:$L$2,'Survey Encoding'!AM115:AX115)</f>
        <v>-0.31352815855853916</v>
      </c>
      <c r="U114" s="11">
        <v>19</v>
      </c>
      <c r="V114" s="11">
        <v>5</v>
      </c>
      <c r="W114" s="1">
        <f t="shared" si="9"/>
        <v>4.0091872913740838</v>
      </c>
      <c r="X114" s="1">
        <f t="shared" si="10"/>
        <v>4.0986315274095384</v>
      </c>
      <c r="Y114" s="1">
        <f t="shared" si="11"/>
        <v>3.0856116792654009</v>
      </c>
      <c r="Z114" s="1">
        <f t="shared" si="12"/>
        <v>0.73086379864279061</v>
      </c>
      <c r="AB114" s="11">
        <v>19</v>
      </c>
      <c r="AC114" s="11">
        <v>5</v>
      </c>
      <c r="AD114">
        <f t="shared" si="13"/>
        <v>0.33622008914073537</v>
      </c>
      <c r="AE114">
        <f t="shared" si="14"/>
        <v>0.34372109790569594</v>
      </c>
      <c r="AF114">
        <f t="shared" si="16"/>
        <v>0.25876681692781178</v>
      </c>
      <c r="AG114">
        <f t="shared" si="16"/>
        <v>6.1291996025756926E-2</v>
      </c>
      <c r="AI114" s="11">
        <v>19</v>
      </c>
      <c r="AJ114" s="11">
        <v>5</v>
      </c>
      <c r="AK114">
        <f>SUMPRODUCT(AD114:AG114,'Coded Choice Data'!C114:F114)</f>
        <v>0.33622008914073537</v>
      </c>
      <c r="AL114">
        <f t="shared" si="15"/>
        <v>-1.0899893062510464</v>
      </c>
    </row>
    <row r="115" spans="14:38" x14ac:dyDescent="0.3">
      <c r="N115" s="11">
        <v>19</v>
      </c>
      <c r="O115" s="11">
        <v>6</v>
      </c>
      <c r="P115">
        <f>SUMPRODUCT($A$2:$L$2,'Survey Encoding'!C116:N116)</f>
        <v>-1.1407000318204914</v>
      </c>
      <c r="Q115">
        <f>SUMPRODUCT($A$2:$L$2,'Survey Encoding'!O116:Z116)</f>
        <v>0.66877574618081503</v>
      </c>
      <c r="R115">
        <f>SUMPRODUCT($A$2:$L$2,'Survey Encoding'!AA116:AL116)</f>
        <v>0.15000228289066947</v>
      </c>
      <c r="S115">
        <f>SUMPRODUCT($A$2:$L$2,'Survey Encoding'!AM116:AX116)</f>
        <v>-0.31352815855853916</v>
      </c>
      <c r="U115" s="11">
        <v>19</v>
      </c>
      <c r="V115" s="11">
        <v>6</v>
      </c>
      <c r="W115" s="1">
        <f t="shared" si="9"/>
        <v>0.31959521666873603</v>
      </c>
      <c r="X115" s="1">
        <f t="shared" si="10"/>
        <v>1.9518463020380199</v>
      </c>
      <c r="Y115" s="1">
        <f t="shared" si="11"/>
        <v>1.1618368950718627</v>
      </c>
      <c r="Z115" s="1">
        <f t="shared" si="12"/>
        <v>0.73086379864279061</v>
      </c>
      <c r="AB115" s="11">
        <v>19</v>
      </c>
      <c r="AC115" s="11">
        <v>6</v>
      </c>
      <c r="AD115">
        <f t="shared" si="13"/>
        <v>7.6749352055124564E-2</v>
      </c>
      <c r="AE115">
        <f t="shared" si="14"/>
        <v>0.46872709971714432</v>
      </c>
      <c r="AF115">
        <f t="shared" si="16"/>
        <v>0.27900989827056494</v>
      </c>
      <c r="AG115">
        <f t="shared" si="16"/>
        <v>0.17551364995716615</v>
      </c>
      <c r="AI115" s="11">
        <v>19</v>
      </c>
      <c r="AJ115" s="11">
        <v>6</v>
      </c>
      <c r="AK115">
        <f>SUMPRODUCT(AD115:AG115,'Coded Choice Data'!C115:F115)</f>
        <v>7.6749352055124564E-2</v>
      </c>
      <c r="AL115">
        <f t="shared" si="15"/>
        <v>-2.5672103348289741</v>
      </c>
    </row>
    <row r="116" spans="14:38" x14ac:dyDescent="0.3">
      <c r="N116" s="11">
        <v>20</v>
      </c>
      <c r="O116" s="11">
        <v>1</v>
      </c>
      <c r="P116">
        <f>SUMPRODUCT($A$2:$L$2,'Survey Encoding'!C117:N117)</f>
        <v>-0.5677340101284214</v>
      </c>
      <c r="Q116">
        <f>SUMPRODUCT($A$2:$L$2,'Survey Encoding'!O117:Z117)</f>
        <v>-0.45781983272127458</v>
      </c>
      <c r="R116">
        <f>SUMPRODUCT($A$2:$L$2,'Survey Encoding'!AA117:AL117)</f>
        <v>-1.1407000318204914</v>
      </c>
      <c r="S116">
        <f>SUMPRODUCT($A$2:$L$2,'Survey Encoding'!AM117:AX117)</f>
        <v>-0.31352815855853916</v>
      </c>
      <c r="U116" s="11">
        <v>20</v>
      </c>
      <c r="V116" s="11">
        <v>1</v>
      </c>
      <c r="W116" s="1">
        <f t="shared" si="9"/>
        <v>0.56680836661762923</v>
      </c>
      <c r="X116" s="1">
        <f t="shared" si="10"/>
        <v>0.63266145083175696</v>
      </c>
      <c r="Y116" s="1">
        <f t="shared" si="11"/>
        <v>0.31959521666873603</v>
      </c>
      <c r="Z116" s="1">
        <f t="shared" si="12"/>
        <v>0.73086379864279061</v>
      </c>
      <c r="AB116" s="11">
        <v>20</v>
      </c>
      <c r="AC116" s="11">
        <v>1</v>
      </c>
      <c r="AD116">
        <f t="shared" si="13"/>
        <v>0.25192279789671945</v>
      </c>
      <c r="AE116">
        <f t="shared" si="14"/>
        <v>0.28119176109913269</v>
      </c>
      <c r="AF116">
        <f t="shared" si="16"/>
        <v>0.14204681144361231</v>
      </c>
      <c r="AG116">
        <f t="shared" si="16"/>
        <v>0.32483862956053577</v>
      </c>
      <c r="AI116" s="11">
        <v>20</v>
      </c>
      <c r="AJ116" s="11">
        <v>1</v>
      </c>
      <c r="AK116">
        <f>SUMPRODUCT(AD116:AG116,'Coded Choice Data'!C116:F116)</f>
        <v>0.32483862956053577</v>
      </c>
      <c r="AL116">
        <f t="shared" si="15"/>
        <v>-1.1244267443905935</v>
      </c>
    </row>
    <row r="117" spans="14:38" x14ac:dyDescent="0.3">
      <c r="N117" s="11">
        <v>20</v>
      </c>
      <c r="O117" s="11">
        <v>2</v>
      </c>
      <c r="P117">
        <f>SUMPRODUCT($A$2:$L$2,'Survey Encoding'!C118:N118)</f>
        <v>1.0311076931258887</v>
      </c>
      <c r="Q117">
        <f>SUMPRODUCT($A$2:$L$2,'Survey Encoding'!O118:Z118)</f>
        <v>1.3885885502977624</v>
      </c>
      <c r="R117">
        <f>SUMPRODUCT($A$2:$L$2,'Survey Encoding'!AA118:AL118)</f>
        <v>0.7637752520424238</v>
      </c>
      <c r="S117">
        <f>SUMPRODUCT($A$2:$L$2,'Survey Encoding'!AM118:AX118)</f>
        <v>-0.31352815855853916</v>
      </c>
      <c r="U117" s="11">
        <v>20</v>
      </c>
      <c r="V117" s="11">
        <v>2</v>
      </c>
      <c r="W117" s="1">
        <f t="shared" si="9"/>
        <v>2.8041702751355775</v>
      </c>
      <c r="X117" s="1">
        <f t="shared" si="10"/>
        <v>4.0091872913740838</v>
      </c>
      <c r="Y117" s="1">
        <f t="shared" si="11"/>
        <v>2.1463640092801262</v>
      </c>
      <c r="Z117" s="1">
        <f t="shared" si="12"/>
        <v>0.73086379864279061</v>
      </c>
      <c r="AB117" s="11">
        <v>20</v>
      </c>
      <c r="AC117" s="11">
        <v>2</v>
      </c>
      <c r="AD117">
        <f t="shared" si="13"/>
        <v>0.28937057636724789</v>
      </c>
      <c r="AE117">
        <f t="shared" si="14"/>
        <v>0.41371982563115672</v>
      </c>
      <c r="AF117">
        <f t="shared" si="16"/>
        <v>0.22148961351117596</v>
      </c>
      <c r="AG117">
        <f t="shared" si="16"/>
        <v>7.5419984490419451E-2</v>
      </c>
      <c r="AI117" s="11">
        <v>20</v>
      </c>
      <c r="AJ117" s="11">
        <v>2</v>
      </c>
      <c r="AK117">
        <f>SUMPRODUCT(AD117:AG117,'Coded Choice Data'!C117:F117)</f>
        <v>0.41371982563115672</v>
      </c>
      <c r="AL117">
        <f t="shared" si="15"/>
        <v>-0.88256628393845316</v>
      </c>
    </row>
    <row r="118" spans="14:38" x14ac:dyDescent="0.3">
      <c r="N118" s="11">
        <v>20</v>
      </c>
      <c r="O118" s="11">
        <v>3</v>
      </c>
      <c r="P118">
        <f>SUMPRODUCT($A$2:$L$2,'Survey Encoding'!C119:N119)</f>
        <v>0.15000228289066947</v>
      </c>
      <c r="Q118">
        <f>SUMPRODUCT($A$2:$L$2,'Survey Encoding'!O119:Z119)</f>
        <v>-0.5677340101284214</v>
      </c>
      <c r="R118">
        <f>SUMPRODUCT($A$2:$L$2,'Survey Encoding'!AA119:AL119)</f>
        <v>0.7637752520424238</v>
      </c>
      <c r="S118">
        <f>SUMPRODUCT($A$2:$L$2,'Survey Encoding'!AM119:AX119)</f>
        <v>-0.31352815855853916</v>
      </c>
      <c r="U118" s="11">
        <v>20</v>
      </c>
      <c r="V118" s="11">
        <v>3</v>
      </c>
      <c r="W118" s="1">
        <f t="shared" si="9"/>
        <v>1.1618368950718627</v>
      </c>
      <c r="X118" s="1">
        <f t="shared" si="10"/>
        <v>0.56680836661762923</v>
      </c>
      <c r="Y118" s="1">
        <f t="shared" si="11"/>
        <v>2.1463640092801262</v>
      </c>
      <c r="Z118" s="1">
        <f t="shared" si="12"/>
        <v>0.73086379864279061</v>
      </c>
      <c r="AB118" s="11">
        <v>20</v>
      </c>
      <c r="AC118" s="11">
        <v>3</v>
      </c>
      <c r="AD118">
        <f t="shared" si="13"/>
        <v>0.25225117529555219</v>
      </c>
      <c r="AE118">
        <f t="shared" si="14"/>
        <v>0.12306209008606635</v>
      </c>
      <c r="AF118">
        <f t="shared" si="16"/>
        <v>0.46600589656734631</v>
      </c>
      <c r="AG118">
        <f t="shared" si="16"/>
        <v>0.15868083805103511</v>
      </c>
      <c r="AI118" s="11">
        <v>20</v>
      </c>
      <c r="AJ118" s="11">
        <v>3</v>
      </c>
      <c r="AK118">
        <f>SUMPRODUCT(AD118:AG118,'Coded Choice Data'!C118:F118)</f>
        <v>0.12306209008606635</v>
      </c>
      <c r="AL118">
        <f t="shared" si="15"/>
        <v>-2.0950662535293958</v>
      </c>
    </row>
    <row r="119" spans="14:38" x14ac:dyDescent="0.3">
      <c r="N119" s="11">
        <v>20</v>
      </c>
      <c r="O119" s="11">
        <v>4</v>
      </c>
      <c r="P119">
        <f>SUMPRODUCT($A$2:$L$2,'Survey Encoding'!C120:N120)</f>
        <v>0.95180473721565084</v>
      </c>
      <c r="Q119">
        <f>SUMPRODUCT($A$2:$L$2,'Survey Encoding'!O120:Z120)</f>
        <v>1.0311076931258887</v>
      </c>
      <c r="R119">
        <f>SUMPRODUCT($A$2:$L$2,'Survey Encoding'!AA120:AL120)</f>
        <v>1.1267499129920266</v>
      </c>
      <c r="S119">
        <f>SUMPRODUCT($A$2:$L$2,'Survey Encoding'!AM120:AX120)</f>
        <v>-0.31352815855853916</v>
      </c>
      <c r="U119" s="11">
        <v>20</v>
      </c>
      <c r="V119" s="11">
        <v>4</v>
      </c>
      <c r="W119" s="1">
        <f t="shared" si="9"/>
        <v>2.5903803992282071</v>
      </c>
      <c r="X119" s="1">
        <f t="shared" si="10"/>
        <v>2.8041702751355775</v>
      </c>
      <c r="Y119" s="1">
        <f t="shared" si="11"/>
        <v>3.0856116792654009</v>
      </c>
      <c r="Z119" s="1">
        <f t="shared" si="12"/>
        <v>0.73086379864279061</v>
      </c>
      <c r="AB119" s="11">
        <v>20</v>
      </c>
      <c r="AC119" s="11">
        <v>4</v>
      </c>
      <c r="AD119">
        <f t="shared" si="13"/>
        <v>0.28122603892393339</v>
      </c>
      <c r="AE119">
        <f t="shared" si="14"/>
        <v>0.30443625159438997</v>
      </c>
      <c r="AF119">
        <f t="shared" si="16"/>
        <v>0.33499108875120381</v>
      </c>
      <c r="AG119">
        <f t="shared" si="16"/>
        <v>7.9346620730472786E-2</v>
      </c>
      <c r="AI119" s="11">
        <v>20</v>
      </c>
      <c r="AJ119" s="11">
        <v>4</v>
      </c>
      <c r="AK119">
        <f>SUMPRODUCT(AD119:AG119,'Coded Choice Data'!C119:F119)</f>
        <v>7.9346620730472786E-2</v>
      </c>
      <c r="AL119">
        <f t="shared" si="15"/>
        <v>-2.5339294198041178</v>
      </c>
    </row>
    <row r="120" spans="14:38" x14ac:dyDescent="0.3">
      <c r="N120" s="11">
        <v>20</v>
      </c>
      <c r="O120" s="11">
        <v>5</v>
      </c>
      <c r="P120">
        <f>SUMPRODUCT($A$2:$L$2,'Survey Encoding'!C121:N121)</f>
        <v>1.3885885502977624</v>
      </c>
      <c r="Q120">
        <f>SUMPRODUCT($A$2:$L$2,'Survey Encoding'!O121:Z121)</f>
        <v>1.4106531441928372</v>
      </c>
      <c r="R120">
        <f>SUMPRODUCT($A$2:$L$2,'Survey Encoding'!AA121:AL121)</f>
        <v>1.1267499129920266</v>
      </c>
      <c r="S120">
        <f>SUMPRODUCT($A$2:$L$2,'Survey Encoding'!AM121:AX121)</f>
        <v>-0.31352815855853916</v>
      </c>
      <c r="U120" s="11">
        <v>20</v>
      </c>
      <c r="V120" s="11">
        <v>5</v>
      </c>
      <c r="W120" s="1">
        <f t="shared" si="9"/>
        <v>4.0091872913740838</v>
      </c>
      <c r="X120" s="1">
        <f t="shared" si="10"/>
        <v>4.0986315274095384</v>
      </c>
      <c r="Y120" s="1">
        <f t="shared" si="11"/>
        <v>3.0856116792654009</v>
      </c>
      <c r="Z120" s="1">
        <f t="shared" si="12"/>
        <v>0.73086379864279061</v>
      </c>
      <c r="AB120" s="11">
        <v>20</v>
      </c>
      <c r="AC120" s="11">
        <v>5</v>
      </c>
      <c r="AD120">
        <f t="shared" si="13"/>
        <v>0.33622008914073537</v>
      </c>
      <c r="AE120">
        <f t="shared" si="14"/>
        <v>0.34372109790569594</v>
      </c>
      <c r="AF120">
        <f t="shared" si="16"/>
        <v>0.25876681692781178</v>
      </c>
      <c r="AG120">
        <f t="shared" si="16"/>
        <v>6.1291996025756926E-2</v>
      </c>
      <c r="AI120" s="11">
        <v>20</v>
      </c>
      <c r="AJ120" s="11">
        <v>5</v>
      </c>
      <c r="AK120">
        <f>SUMPRODUCT(AD120:AG120,'Coded Choice Data'!C120:F120)</f>
        <v>6.1291996025756926E-2</v>
      </c>
      <c r="AL120">
        <f t="shared" si="15"/>
        <v>-2.7921060151073482</v>
      </c>
    </row>
    <row r="121" spans="14:38" x14ac:dyDescent="0.3">
      <c r="N121" s="11">
        <v>20</v>
      </c>
      <c r="O121" s="11">
        <v>6</v>
      </c>
      <c r="P121">
        <f>SUMPRODUCT($A$2:$L$2,'Survey Encoding'!C122:N122)</f>
        <v>-1.1407000318204914</v>
      </c>
      <c r="Q121">
        <f>SUMPRODUCT($A$2:$L$2,'Survey Encoding'!O122:Z122)</f>
        <v>0.66877574618081503</v>
      </c>
      <c r="R121">
        <f>SUMPRODUCT($A$2:$L$2,'Survey Encoding'!AA122:AL122)</f>
        <v>0.15000228289066947</v>
      </c>
      <c r="S121">
        <f>SUMPRODUCT($A$2:$L$2,'Survey Encoding'!AM122:AX122)</f>
        <v>-0.31352815855853916</v>
      </c>
      <c r="U121" s="11">
        <v>20</v>
      </c>
      <c r="V121" s="11">
        <v>6</v>
      </c>
      <c r="W121" s="1">
        <f t="shared" si="9"/>
        <v>0.31959521666873603</v>
      </c>
      <c r="X121" s="1">
        <f t="shared" si="10"/>
        <v>1.9518463020380199</v>
      </c>
      <c r="Y121" s="1">
        <f t="shared" si="11"/>
        <v>1.1618368950718627</v>
      </c>
      <c r="Z121" s="1">
        <f t="shared" si="12"/>
        <v>0.73086379864279061</v>
      </c>
      <c r="AB121" s="11">
        <v>20</v>
      </c>
      <c r="AC121" s="11">
        <v>6</v>
      </c>
      <c r="AD121">
        <f t="shared" si="13"/>
        <v>7.6749352055124564E-2</v>
      </c>
      <c r="AE121">
        <f t="shared" si="14"/>
        <v>0.46872709971714432</v>
      </c>
      <c r="AF121">
        <f t="shared" si="16"/>
        <v>0.27900989827056494</v>
      </c>
      <c r="AG121">
        <f t="shared" si="16"/>
        <v>0.17551364995716615</v>
      </c>
      <c r="AI121" s="11">
        <v>20</v>
      </c>
      <c r="AJ121" s="11">
        <v>6</v>
      </c>
      <c r="AK121">
        <f>SUMPRODUCT(AD121:AG121,'Coded Choice Data'!C121:F121)</f>
        <v>0.17551364995716615</v>
      </c>
      <c r="AL121">
        <f t="shared" si="15"/>
        <v>-1.7400384615670219</v>
      </c>
    </row>
    <row r="122" spans="14:38" x14ac:dyDescent="0.3">
      <c r="N122" s="11">
        <v>21</v>
      </c>
      <c r="O122" s="11">
        <v>1</v>
      </c>
      <c r="P122">
        <f>SUMPRODUCT($A$2:$L$2,'Survey Encoding'!C123:N123)</f>
        <v>-0.5677340101284214</v>
      </c>
      <c r="Q122">
        <f>SUMPRODUCT($A$2:$L$2,'Survey Encoding'!O123:Z123)</f>
        <v>-0.45781983272127458</v>
      </c>
      <c r="R122">
        <f>SUMPRODUCT($A$2:$L$2,'Survey Encoding'!AA123:AL123)</f>
        <v>-1.1407000318204914</v>
      </c>
      <c r="S122">
        <f>SUMPRODUCT($A$2:$L$2,'Survey Encoding'!AM123:AX123)</f>
        <v>-0.31352815855853916</v>
      </c>
      <c r="U122" s="11">
        <v>21</v>
      </c>
      <c r="V122" s="11">
        <v>1</v>
      </c>
      <c r="W122" s="1">
        <f t="shared" si="9"/>
        <v>0.56680836661762923</v>
      </c>
      <c r="X122" s="1">
        <f t="shared" si="10"/>
        <v>0.63266145083175696</v>
      </c>
      <c r="Y122" s="1">
        <f t="shared" si="11"/>
        <v>0.31959521666873603</v>
      </c>
      <c r="Z122" s="1">
        <f t="shared" si="12"/>
        <v>0.73086379864279061</v>
      </c>
      <c r="AB122" s="11">
        <v>21</v>
      </c>
      <c r="AC122" s="11">
        <v>1</v>
      </c>
      <c r="AD122">
        <f t="shared" si="13"/>
        <v>0.25192279789671945</v>
      </c>
      <c r="AE122">
        <f t="shared" si="14"/>
        <v>0.28119176109913269</v>
      </c>
      <c r="AF122">
        <f t="shared" si="16"/>
        <v>0.14204681144361231</v>
      </c>
      <c r="AG122">
        <f t="shared" si="16"/>
        <v>0.32483862956053577</v>
      </c>
      <c r="AI122" s="11">
        <v>21</v>
      </c>
      <c r="AJ122" s="11">
        <v>1</v>
      </c>
      <c r="AK122">
        <f>SUMPRODUCT(AD122:AG122,'Coded Choice Data'!C122:F122)</f>
        <v>0.32483862956053577</v>
      </c>
      <c r="AL122">
        <f t="shared" si="15"/>
        <v>-1.1244267443905935</v>
      </c>
    </row>
    <row r="123" spans="14:38" x14ac:dyDescent="0.3">
      <c r="N123" s="11">
        <v>21</v>
      </c>
      <c r="O123" s="11">
        <v>2</v>
      </c>
      <c r="P123">
        <f>SUMPRODUCT($A$2:$L$2,'Survey Encoding'!C124:N124)</f>
        <v>1.0311076931258887</v>
      </c>
      <c r="Q123">
        <f>SUMPRODUCT($A$2:$L$2,'Survey Encoding'!O124:Z124)</f>
        <v>1.3885885502977624</v>
      </c>
      <c r="R123">
        <f>SUMPRODUCT($A$2:$L$2,'Survey Encoding'!AA124:AL124)</f>
        <v>0.7637752520424238</v>
      </c>
      <c r="S123">
        <f>SUMPRODUCT($A$2:$L$2,'Survey Encoding'!AM124:AX124)</f>
        <v>-0.31352815855853916</v>
      </c>
      <c r="U123" s="11">
        <v>21</v>
      </c>
      <c r="V123" s="11">
        <v>2</v>
      </c>
      <c r="W123" s="1">
        <f t="shared" si="9"/>
        <v>2.8041702751355775</v>
      </c>
      <c r="X123" s="1">
        <f t="shared" si="10"/>
        <v>4.0091872913740838</v>
      </c>
      <c r="Y123" s="1">
        <f t="shared" si="11"/>
        <v>2.1463640092801262</v>
      </c>
      <c r="Z123" s="1">
        <f t="shared" si="12"/>
        <v>0.73086379864279061</v>
      </c>
      <c r="AB123" s="11">
        <v>21</v>
      </c>
      <c r="AC123" s="11">
        <v>2</v>
      </c>
      <c r="AD123">
        <f t="shared" si="13"/>
        <v>0.28937057636724789</v>
      </c>
      <c r="AE123">
        <f t="shared" si="14"/>
        <v>0.41371982563115672</v>
      </c>
      <c r="AF123">
        <f t="shared" si="16"/>
        <v>0.22148961351117596</v>
      </c>
      <c r="AG123">
        <f t="shared" si="16"/>
        <v>7.5419984490419451E-2</v>
      </c>
      <c r="AI123" s="11">
        <v>21</v>
      </c>
      <c r="AJ123" s="11">
        <v>2</v>
      </c>
      <c r="AK123">
        <f>SUMPRODUCT(AD123:AG123,'Coded Choice Data'!C123:F123)</f>
        <v>0.28937057636724789</v>
      </c>
      <c r="AL123">
        <f t="shared" si="15"/>
        <v>-1.2400471411103269</v>
      </c>
    </row>
    <row r="124" spans="14:38" x14ac:dyDescent="0.3">
      <c r="N124" s="11">
        <v>21</v>
      </c>
      <c r="O124" s="11">
        <v>3</v>
      </c>
      <c r="P124">
        <f>SUMPRODUCT($A$2:$L$2,'Survey Encoding'!C125:N125)</f>
        <v>0.15000228289066947</v>
      </c>
      <c r="Q124">
        <f>SUMPRODUCT($A$2:$L$2,'Survey Encoding'!O125:Z125)</f>
        <v>-0.5677340101284214</v>
      </c>
      <c r="R124">
        <f>SUMPRODUCT($A$2:$L$2,'Survey Encoding'!AA125:AL125)</f>
        <v>0.7637752520424238</v>
      </c>
      <c r="S124">
        <f>SUMPRODUCT($A$2:$L$2,'Survey Encoding'!AM125:AX125)</f>
        <v>-0.31352815855853916</v>
      </c>
      <c r="U124" s="11">
        <v>21</v>
      </c>
      <c r="V124" s="11">
        <v>3</v>
      </c>
      <c r="W124" s="1">
        <f t="shared" si="9"/>
        <v>1.1618368950718627</v>
      </c>
      <c r="X124" s="1">
        <f t="shared" si="10"/>
        <v>0.56680836661762923</v>
      </c>
      <c r="Y124" s="1">
        <f t="shared" si="11"/>
        <v>2.1463640092801262</v>
      </c>
      <c r="Z124" s="1">
        <f t="shared" si="12"/>
        <v>0.73086379864279061</v>
      </c>
      <c r="AB124" s="11">
        <v>21</v>
      </c>
      <c r="AC124" s="11">
        <v>3</v>
      </c>
      <c r="AD124">
        <f t="shared" si="13"/>
        <v>0.25225117529555219</v>
      </c>
      <c r="AE124">
        <f t="shared" si="14"/>
        <v>0.12306209008606635</v>
      </c>
      <c r="AF124">
        <f t="shared" si="16"/>
        <v>0.46600589656734631</v>
      </c>
      <c r="AG124">
        <f t="shared" si="16"/>
        <v>0.15868083805103511</v>
      </c>
      <c r="AI124" s="11">
        <v>21</v>
      </c>
      <c r="AJ124" s="11">
        <v>3</v>
      </c>
      <c r="AK124">
        <f>SUMPRODUCT(AD124:AG124,'Coded Choice Data'!C124:F124)</f>
        <v>0.25225117529555219</v>
      </c>
      <c r="AL124">
        <f t="shared" si="15"/>
        <v>-1.3773299605103049</v>
      </c>
    </row>
    <row r="125" spans="14:38" x14ac:dyDescent="0.3">
      <c r="N125" s="11">
        <v>21</v>
      </c>
      <c r="O125" s="11">
        <v>4</v>
      </c>
      <c r="P125">
        <f>SUMPRODUCT($A$2:$L$2,'Survey Encoding'!C126:N126)</f>
        <v>0.95180473721565084</v>
      </c>
      <c r="Q125">
        <f>SUMPRODUCT($A$2:$L$2,'Survey Encoding'!O126:Z126)</f>
        <v>1.0311076931258887</v>
      </c>
      <c r="R125">
        <f>SUMPRODUCT($A$2:$L$2,'Survey Encoding'!AA126:AL126)</f>
        <v>1.1267499129920266</v>
      </c>
      <c r="S125">
        <f>SUMPRODUCT($A$2:$L$2,'Survey Encoding'!AM126:AX126)</f>
        <v>-0.31352815855853916</v>
      </c>
      <c r="U125" s="11">
        <v>21</v>
      </c>
      <c r="V125" s="11">
        <v>4</v>
      </c>
      <c r="W125" s="1">
        <f t="shared" si="9"/>
        <v>2.5903803992282071</v>
      </c>
      <c r="X125" s="1">
        <f t="shared" si="10"/>
        <v>2.8041702751355775</v>
      </c>
      <c r="Y125" s="1">
        <f t="shared" si="11"/>
        <v>3.0856116792654009</v>
      </c>
      <c r="Z125" s="1">
        <f t="shared" si="12"/>
        <v>0.73086379864279061</v>
      </c>
      <c r="AB125" s="11">
        <v>21</v>
      </c>
      <c r="AC125" s="11">
        <v>4</v>
      </c>
      <c r="AD125">
        <f t="shared" si="13"/>
        <v>0.28122603892393339</v>
      </c>
      <c r="AE125">
        <f t="shared" si="14"/>
        <v>0.30443625159438997</v>
      </c>
      <c r="AF125">
        <f t="shared" si="16"/>
        <v>0.33499108875120381</v>
      </c>
      <c r="AG125">
        <f t="shared" si="16"/>
        <v>7.9346620730472786E-2</v>
      </c>
      <c r="AI125" s="11">
        <v>21</v>
      </c>
      <c r="AJ125" s="11">
        <v>4</v>
      </c>
      <c r="AK125">
        <f>SUMPRODUCT(AD125:AG125,'Coded Choice Data'!C125:F125)</f>
        <v>0.30443625159438997</v>
      </c>
      <c r="AL125">
        <f t="shared" si="15"/>
        <v>-1.1892935681196899</v>
      </c>
    </row>
    <row r="126" spans="14:38" x14ac:dyDescent="0.3">
      <c r="N126" s="11">
        <v>21</v>
      </c>
      <c r="O126" s="11">
        <v>5</v>
      </c>
      <c r="P126">
        <f>SUMPRODUCT($A$2:$L$2,'Survey Encoding'!C127:N127)</f>
        <v>1.3885885502977624</v>
      </c>
      <c r="Q126">
        <f>SUMPRODUCT($A$2:$L$2,'Survey Encoding'!O127:Z127)</f>
        <v>1.4106531441928372</v>
      </c>
      <c r="R126">
        <f>SUMPRODUCT($A$2:$L$2,'Survey Encoding'!AA127:AL127)</f>
        <v>1.1267499129920266</v>
      </c>
      <c r="S126">
        <f>SUMPRODUCT($A$2:$L$2,'Survey Encoding'!AM127:AX127)</f>
        <v>-0.31352815855853916</v>
      </c>
      <c r="U126" s="11">
        <v>21</v>
      </c>
      <c r="V126" s="11">
        <v>5</v>
      </c>
      <c r="W126" s="1">
        <f t="shared" si="9"/>
        <v>4.0091872913740838</v>
      </c>
      <c r="X126" s="1">
        <f t="shared" si="10"/>
        <v>4.0986315274095384</v>
      </c>
      <c r="Y126" s="1">
        <f t="shared" si="11"/>
        <v>3.0856116792654009</v>
      </c>
      <c r="Z126" s="1">
        <f t="shared" si="12"/>
        <v>0.73086379864279061</v>
      </c>
      <c r="AB126" s="11">
        <v>21</v>
      </c>
      <c r="AC126" s="11">
        <v>5</v>
      </c>
      <c r="AD126">
        <f t="shared" si="13"/>
        <v>0.33622008914073537</v>
      </c>
      <c r="AE126">
        <f t="shared" si="14"/>
        <v>0.34372109790569594</v>
      </c>
      <c r="AF126">
        <f t="shared" si="16"/>
        <v>0.25876681692781178</v>
      </c>
      <c r="AG126">
        <f t="shared" si="16"/>
        <v>6.1291996025756926E-2</v>
      </c>
      <c r="AI126" s="11">
        <v>21</v>
      </c>
      <c r="AJ126" s="11">
        <v>5</v>
      </c>
      <c r="AK126">
        <f>SUMPRODUCT(AD126:AG126,'Coded Choice Data'!C126:F126)</f>
        <v>6.1291996025756926E-2</v>
      </c>
      <c r="AL126">
        <f t="shared" si="15"/>
        <v>-2.7921060151073482</v>
      </c>
    </row>
    <row r="127" spans="14:38" x14ac:dyDescent="0.3">
      <c r="N127" s="11">
        <v>21</v>
      </c>
      <c r="O127" s="11">
        <v>6</v>
      </c>
      <c r="P127">
        <f>SUMPRODUCT($A$2:$L$2,'Survey Encoding'!C128:N128)</f>
        <v>-1.1407000318204914</v>
      </c>
      <c r="Q127">
        <f>SUMPRODUCT($A$2:$L$2,'Survey Encoding'!O128:Z128)</f>
        <v>0.66877574618081503</v>
      </c>
      <c r="R127">
        <f>SUMPRODUCT($A$2:$L$2,'Survey Encoding'!AA128:AL128)</f>
        <v>0.15000228289066947</v>
      </c>
      <c r="S127">
        <f>SUMPRODUCT($A$2:$L$2,'Survey Encoding'!AM128:AX128)</f>
        <v>-0.31352815855853916</v>
      </c>
      <c r="U127" s="11">
        <v>21</v>
      </c>
      <c r="V127" s="11">
        <v>6</v>
      </c>
      <c r="W127" s="1">
        <f t="shared" si="9"/>
        <v>0.31959521666873603</v>
      </c>
      <c r="X127" s="1">
        <f t="shared" si="10"/>
        <v>1.9518463020380199</v>
      </c>
      <c r="Y127" s="1">
        <f t="shared" si="11"/>
        <v>1.1618368950718627</v>
      </c>
      <c r="Z127" s="1">
        <f t="shared" si="12"/>
        <v>0.73086379864279061</v>
      </c>
      <c r="AB127" s="11">
        <v>21</v>
      </c>
      <c r="AC127" s="11">
        <v>6</v>
      </c>
      <c r="AD127">
        <f t="shared" si="13"/>
        <v>7.6749352055124564E-2</v>
      </c>
      <c r="AE127">
        <f t="shared" si="14"/>
        <v>0.46872709971714432</v>
      </c>
      <c r="AF127">
        <f t="shared" si="16"/>
        <v>0.27900989827056494</v>
      </c>
      <c r="AG127">
        <f t="shared" si="16"/>
        <v>0.17551364995716615</v>
      </c>
      <c r="AI127" s="11">
        <v>21</v>
      </c>
      <c r="AJ127" s="11">
        <v>6</v>
      </c>
      <c r="AK127">
        <f>SUMPRODUCT(AD127:AG127,'Coded Choice Data'!C127:F127)</f>
        <v>0.17551364995716615</v>
      </c>
      <c r="AL127">
        <f t="shared" si="15"/>
        <v>-1.7400384615670219</v>
      </c>
    </row>
    <row r="128" spans="14:38" x14ac:dyDescent="0.3">
      <c r="N128" s="11">
        <v>22</v>
      </c>
      <c r="O128" s="11">
        <v>1</v>
      </c>
      <c r="P128">
        <f>SUMPRODUCT($A$2:$L$2,'Survey Encoding'!C129:N129)</f>
        <v>-0.5677340101284214</v>
      </c>
      <c r="Q128">
        <f>SUMPRODUCT($A$2:$L$2,'Survey Encoding'!O129:Z129)</f>
        <v>-0.45781983272127458</v>
      </c>
      <c r="R128">
        <f>SUMPRODUCT($A$2:$L$2,'Survey Encoding'!AA129:AL129)</f>
        <v>-1.1407000318204914</v>
      </c>
      <c r="S128">
        <f>SUMPRODUCT($A$2:$L$2,'Survey Encoding'!AM129:AX129)</f>
        <v>-0.31352815855853916</v>
      </c>
      <c r="U128" s="11">
        <v>22</v>
      </c>
      <c r="V128" s="11">
        <v>1</v>
      </c>
      <c r="W128" s="1">
        <f t="shared" si="9"/>
        <v>0.56680836661762923</v>
      </c>
      <c r="X128" s="1">
        <f t="shared" si="10"/>
        <v>0.63266145083175696</v>
      </c>
      <c r="Y128" s="1">
        <f t="shared" si="11"/>
        <v>0.31959521666873603</v>
      </c>
      <c r="Z128" s="1">
        <f t="shared" si="12"/>
        <v>0.73086379864279061</v>
      </c>
      <c r="AB128" s="11">
        <v>22</v>
      </c>
      <c r="AC128" s="11">
        <v>1</v>
      </c>
      <c r="AD128">
        <f t="shared" si="13"/>
        <v>0.25192279789671945</v>
      </c>
      <c r="AE128">
        <f t="shared" si="14"/>
        <v>0.28119176109913269</v>
      </c>
      <c r="AF128">
        <f t="shared" si="16"/>
        <v>0.14204681144361231</v>
      </c>
      <c r="AG128">
        <f t="shared" si="16"/>
        <v>0.32483862956053577</v>
      </c>
      <c r="AI128" s="11">
        <v>22</v>
      </c>
      <c r="AJ128" s="11">
        <v>1</v>
      </c>
      <c r="AK128">
        <f>SUMPRODUCT(AD128:AG128,'Coded Choice Data'!C128:F128)</f>
        <v>0.32483862956053577</v>
      </c>
      <c r="AL128">
        <f t="shared" si="15"/>
        <v>-1.1244267443905935</v>
      </c>
    </row>
    <row r="129" spans="14:38" x14ac:dyDescent="0.3">
      <c r="N129" s="11">
        <v>22</v>
      </c>
      <c r="O129" s="11">
        <v>2</v>
      </c>
      <c r="P129">
        <f>SUMPRODUCT($A$2:$L$2,'Survey Encoding'!C130:N130)</f>
        <v>1.0311076931258887</v>
      </c>
      <c r="Q129">
        <f>SUMPRODUCT($A$2:$L$2,'Survey Encoding'!O130:Z130)</f>
        <v>1.3885885502977624</v>
      </c>
      <c r="R129">
        <f>SUMPRODUCT($A$2:$L$2,'Survey Encoding'!AA130:AL130)</f>
        <v>0.7637752520424238</v>
      </c>
      <c r="S129">
        <f>SUMPRODUCT($A$2:$L$2,'Survey Encoding'!AM130:AX130)</f>
        <v>-0.31352815855853916</v>
      </c>
      <c r="U129" s="11">
        <v>22</v>
      </c>
      <c r="V129" s="11">
        <v>2</v>
      </c>
      <c r="W129" s="1">
        <f t="shared" si="9"/>
        <v>2.8041702751355775</v>
      </c>
      <c r="X129" s="1">
        <f t="shared" si="10"/>
        <v>4.0091872913740838</v>
      </c>
      <c r="Y129" s="1">
        <f t="shared" si="11"/>
        <v>2.1463640092801262</v>
      </c>
      <c r="Z129" s="1">
        <f t="shared" si="12"/>
        <v>0.73086379864279061</v>
      </c>
      <c r="AB129" s="11">
        <v>22</v>
      </c>
      <c r="AC129" s="11">
        <v>2</v>
      </c>
      <c r="AD129">
        <f t="shared" si="13"/>
        <v>0.28937057636724789</v>
      </c>
      <c r="AE129">
        <f t="shared" si="14"/>
        <v>0.41371982563115672</v>
      </c>
      <c r="AF129">
        <f t="shared" si="16"/>
        <v>0.22148961351117596</v>
      </c>
      <c r="AG129">
        <f t="shared" si="16"/>
        <v>7.5419984490419451E-2</v>
      </c>
      <c r="AI129" s="11">
        <v>22</v>
      </c>
      <c r="AJ129" s="11">
        <v>2</v>
      </c>
      <c r="AK129">
        <f>SUMPRODUCT(AD129:AG129,'Coded Choice Data'!C129:F129)</f>
        <v>0.41371982563115672</v>
      </c>
      <c r="AL129">
        <f t="shared" si="15"/>
        <v>-0.88256628393845316</v>
      </c>
    </row>
    <row r="130" spans="14:38" x14ac:dyDescent="0.3">
      <c r="N130" s="11">
        <v>22</v>
      </c>
      <c r="O130" s="11">
        <v>3</v>
      </c>
      <c r="P130">
        <f>SUMPRODUCT($A$2:$L$2,'Survey Encoding'!C131:N131)</f>
        <v>0.15000228289066947</v>
      </c>
      <c r="Q130">
        <f>SUMPRODUCT($A$2:$L$2,'Survey Encoding'!O131:Z131)</f>
        <v>-0.5677340101284214</v>
      </c>
      <c r="R130">
        <f>SUMPRODUCT($A$2:$L$2,'Survey Encoding'!AA131:AL131)</f>
        <v>0.7637752520424238</v>
      </c>
      <c r="S130">
        <f>SUMPRODUCT($A$2:$L$2,'Survey Encoding'!AM131:AX131)</f>
        <v>-0.31352815855853916</v>
      </c>
      <c r="U130" s="11">
        <v>22</v>
      </c>
      <c r="V130" s="11">
        <v>3</v>
      </c>
      <c r="W130" s="1">
        <f t="shared" si="9"/>
        <v>1.1618368950718627</v>
      </c>
      <c r="X130" s="1">
        <f t="shared" si="10"/>
        <v>0.56680836661762923</v>
      </c>
      <c r="Y130" s="1">
        <f t="shared" si="11"/>
        <v>2.1463640092801262</v>
      </c>
      <c r="Z130" s="1">
        <f t="shared" si="12"/>
        <v>0.73086379864279061</v>
      </c>
      <c r="AB130" s="11">
        <v>22</v>
      </c>
      <c r="AC130" s="11">
        <v>3</v>
      </c>
      <c r="AD130">
        <f t="shared" si="13"/>
        <v>0.25225117529555219</v>
      </c>
      <c r="AE130">
        <f t="shared" si="14"/>
        <v>0.12306209008606635</v>
      </c>
      <c r="AF130">
        <f t="shared" si="16"/>
        <v>0.46600589656734631</v>
      </c>
      <c r="AG130">
        <f t="shared" si="16"/>
        <v>0.15868083805103511</v>
      </c>
      <c r="AI130" s="11">
        <v>22</v>
      </c>
      <c r="AJ130" s="11">
        <v>3</v>
      </c>
      <c r="AK130">
        <f>SUMPRODUCT(AD130:AG130,'Coded Choice Data'!C130:F130)</f>
        <v>0.46600589656734631</v>
      </c>
      <c r="AL130">
        <f t="shared" si="15"/>
        <v>-0.7635569913585506</v>
      </c>
    </row>
    <row r="131" spans="14:38" x14ac:dyDescent="0.3">
      <c r="N131" s="11">
        <v>22</v>
      </c>
      <c r="O131" s="11">
        <v>4</v>
      </c>
      <c r="P131">
        <f>SUMPRODUCT($A$2:$L$2,'Survey Encoding'!C132:N132)</f>
        <v>0.95180473721565084</v>
      </c>
      <c r="Q131">
        <f>SUMPRODUCT($A$2:$L$2,'Survey Encoding'!O132:Z132)</f>
        <v>1.0311076931258887</v>
      </c>
      <c r="R131">
        <f>SUMPRODUCT($A$2:$L$2,'Survey Encoding'!AA132:AL132)</f>
        <v>1.1267499129920266</v>
      </c>
      <c r="S131">
        <f>SUMPRODUCT($A$2:$L$2,'Survey Encoding'!AM132:AX132)</f>
        <v>-0.31352815855853916</v>
      </c>
      <c r="U131" s="11">
        <v>22</v>
      </c>
      <c r="V131" s="11">
        <v>4</v>
      </c>
      <c r="W131" s="1">
        <f t="shared" ref="W131:W193" si="17">EXP(P131)</f>
        <v>2.5903803992282071</v>
      </c>
      <c r="X131" s="1">
        <f t="shared" ref="X131:X193" si="18">EXP(Q131)</f>
        <v>2.8041702751355775</v>
      </c>
      <c r="Y131" s="1">
        <f t="shared" ref="Y131:Y193" si="19">EXP(R131)</f>
        <v>3.0856116792654009</v>
      </c>
      <c r="Z131" s="1">
        <f t="shared" ref="Z131:Z193" si="20">EXP(S131)</f>
        <v>0.73086379864279061</v>
      </c>
      <c r="AB131" s="11">
        <v>22</v>
      </c>
      <c r="AC131" s="11">
        <v>4</v>
      </c>
      <c r="AD131">
        <f t="shared" ref="AD131:AD193" si="21">W131/SUM($W131:$Z131)</f>
        <v>0.28122603892393339</v>
      </c>
      <c r="AE131">
        <f t="shared" ref="AE131:AE193" si="22">X131/SUM($W131:$Z131)</f>
        <v>0.30443625159438997</v>
      </c>
      <c r="AF131">
        <f t="shared" si="16"/>
        <v>0.33499108875120381</v>
      </c>
      <c r="AG131">
        <f t="shared" si="16"/>
        <v>7.9346620730472786E-2</v>
      </c>
      <c r="AI131" s="11">
        <v>22</v>
      </c>
      <c r="AJ131" s="11">
        <v>4</v>
      </c>
      <c r="AK131">
        <f>SUMPRODUCT(AD131:AG131,'Coded Choice Data'!C131:F131)</f>
        <v>0.33499108875120381</v>
      </c>
      <c r="AL131">
        <f t="shared" ref="AL131:AL193" si="23">LN(AK131)</f>
        <v>-1.0936513482535519</v>
      </c>
    </row>
    <row r="132" spans="14:38" x14ac:dyDescent="0.3">
      <c r="N132" s="11">
        <v>22</v>
      </c>
      <c r="O132" s="11">
        <v>5</v>
      </c>
      <c r="P132">
        <f>SUMPRODUCT($A$2:$L$2,'Survey Encoding'!C133:N133)</f>
        <v>1.3885885502977624</v>
      </c>
      <c r="Q132">
        <f>SUMPRODUCT($A$2:$L$2,'Survey Encoding'!O133:Z133)</f>
        <v>1.4106531441928372</v>
      </c>
      <c r="R132">
        <f>SUMPRODUCT($A$2:$L$2,'Survey Encoding'!AA133:AL133)</f>
        <v>1.1267499129920266</v>
      </c>
      <c r="S132">
        <f>SUMPRODUCT($A$2:$L$2,'Survey Encoding'!AM133:AX133)</f>
        <v>-0.31352815855853916</v>
      </c>
      <c r="U132" s="11">
        <v>22</v>
      </c>
      <c r="V132" s="11">
        <v>5</v>
      </c>
      <c r="W132" s="1">
        <f t="shared" si="17"/>
        <v>4.0091872913740838</v>
      </c>
      <c r="X132" s="1">
        <f t="shared" si="18"/>
        <v>4.0986315274095384</v>
      </c>
      <c r="Y132" s="1">
        <f t="shared" si="19"/>
        <v>3.0856116792654009</v>
      </c>
      <c r="Z132" s="1">
        <f t="shared" si="20"/>
        <v>0.73086379864279061</v>
      </c>
      <c r="AB132" s="11">
        <v>22</v>
      </c>
      <c r="AC132" s="11">
        <v>5</v>
      </c>
      <c r="AD132">
        <f t="shared" si="21"/>
        <v>0.33622008914073537</v>
      </c>
      <c r="AE132">
        <f t="shared" si="22"/>
        <v>0.34372109790569594</v>
      </c>
      <c r="AF132">
        <f t="shared" si="16"/>
        <v>0.25876681692781178</v>
      </c>
      <c r="AG132">
        <f t="shared" si="16"/>
        <v>6.1291996025756926E-2</v>
      </c>
      <c r="AI132" s="11">
        <v>22</v>
      </c>
      <c r="AJ132" s="11">
        <v>5</v>
      </c>
      <c r="AK132">
        <f>SUMPRODUCT(AD132:AG132,'Coded Choice Data'!C132:F132)</f>
        <v>0.25876681692781178</v>
      </c>
      <c r="AL132">
        <f t="shared" si="23"/>
        <v>-1.3518279435567824</v>
      </c>
    </row>
    <row r="133" spans="14:38" x14ac:dyDescent="0.3">
      <c r="N133" s="11">
        <v>22</v>
      </c>
      <c r="O133" s="11">
        <v>6</v>
      </c>
      <c r="P133">
        <f>SUMPRODUCT($A$2:$L$2,'Survey Encoding'!C134:N134)</f>
        <v>-1.1407000318204914</v>
      </c>
      <c r="Q133">
        <f>SUMPRODUCT($A$2:$L$2,'Survey Encoding'!O134:Z134)</f>
        <v>0.66877574618081503</v>
      </c>
      <c r="R133">
        <f>SUMPRODUCT($A$2:$L$2,'Survey Encoding'!AA134:AL134)</f>
        <v>0.15000228289066947</v>
      </c>
      <c r="S133">
        <f>SUMPRODUCT($A$2:$L$2,'Survey Encoding'!AM134:AX134)</f>
        <v>-0.31352815855853916</v>
      </c>
      <c r="U133" s="11">
        <v>22</v>
      </c>
      <c r="V133" s="11">
        <v>6</v>
      </c>
      <c r="W133" s="1">
        <f t="shared" si="17"/>
        <v>0.31959521666873603</v>
      </c>
      <c r="X133" s="1">
        <f t="shared" si="18"/>
        <v>1.9518463020380199</v>
      </c>
      <c r="Y133" s="1">
        <f t="shared" si="19"/>
        <v>1.1618368950718627</v>
      </c>
      <c r="Z133" s="1">
        <f t="shared" si="20"/>
        <v>0.73086379864279061</v>
      </c>
      <c r="AB133" s="11">
        <v>22</v>
      </c>
      <c r="AC133" s="11">
        <v>6</v>
      </c>
      <c r="AD133">
        <f t="shared" si="21"/>
        <v>7.6749352055124564E-2</v>
      </c>
      <c r="AE133">
        <f t="shared" si="22"/>
        <v>0.46872709971714432</v>
      </c>
      <c r="AF133">
        <f t="shared" si="16"/>
        <v>0.27900989827056494</v>
      </c>
      <c r="AG133">
        <f t="shared" si="16"/>
        <v>0.17551364995716615</v>
      </c>
      <c r="AI133" s="11">
        <v>22</v>
      </c>
      <c r="AJ133" s="11">
        <v>6</v>
      </c>
      <c r="AK133">
        <f>SUMPRODUCT(AD133:AG133,'Coded Choice Data'!C133:F133)</f>
        <v>0.46872709971714432</v>
      </c>
      <c r="AL133">
        <f t="shared" si="23"/>
        <v>-0.75773455682766766</v>
      </c>
    </row>
    <row r="134" spans="14:38" x14ac:dyDescent="0.3">
      <c r="N134" s="11">
        <v>23</v>
      </c>
      <c r="O134" s="11">
        <v>1</v>
      </c>
      <c r="P134">
        <f>SUMPRODUCT($A$2:$L$2,'Survey Encoding'!C135:N135)</f>
        <v>-0.5677340101284214</v>
      </c>
      <c r="Q134">
        <f>SUMPRODUCT($A$2:$L$2,'Survey Encoding'!O135:Z135)</f>
        <v>-0.45781983272127458</v>
      </c>
      <c r="R134">
        <f>SUMPRODUCT($A$2:$L$2,'Survey Encoding'!AA135:AL135)</f>
        <v>-1.1407000318204914</v>
      </c>
      <c r="S134">
        <f>SUMPRODUCT($A$2:$L$2,'Survey Encoding'!AM135:AX135)</f>
        <v>-0.31352815855853916</v>
      </c>
      <c r="U134" s="11">
        <v>23</v>
      </c>
      <c r="V134" s="11">
        <v>1</v>
      </c>
      <c r="W134" s="1">
        <f t="shared" si="17"/>
        <v>0.56680836661762923</v>
      </c>
      <c r="X134" s="1">
        <f t="shared" si="18"/>
        <v>0.63266145083175696</v>
      </c>
      <c r="Y134" s="1">
        <f t="shared" si="19"/>
        <v>0.31959521666873603</v>
      </c>
      <c r="Z134" s="1">
        <f t="shared" si="20"/>
        <v>0.73086379864279061</v>
      </c>
      <c r="AB134" s="11">
        <v>23</v>
      </c>
      <c r="AC134" s="11">
        <v>1</v>
      </c>
      <c r="AD134">
        <f t="shared" si="21"/>
        <v>0.25192279789671945</v>
      </c>
      <c r="AE134">
        <f t="shared" si="22"/>
        <v>0.28119176109913269</v>
      </c>
      <c r="AF134">
        <f t="shared" si="16"/>
        <v>0.14204681144361231</v>
      </c>
      <c r="AG134">
        <f t="shared" si="16"/>
        <v>0.32483862956053577</v>
      </c>
      <c r="AI134" s="11">
        <v>23</v>
      </c>
      <c r="AJ134" s="11">
        <v>1</v>
      </c>
      <c r="AK134">
        <f>SUMPRODUCT(AD134:AG134,'Coded Choice Data'!C134:F134)</f>
        <v>0.32483862956053577</v>
      </c>
      <c r="AL134">
        <f t="shared" si="23"/>
        <v>-1.1244267443905935</v>
      </c>
    </row>
    <row r="135" spans="14:38" x14ac:dyDescent="0.3">
      <c r="N135" s="11">
        <v>23</v>
      </c>
      <c r="O135" s="11">
        <v>2</v>
      </c>
      <c r="P135">
        <f>SUMPRODUCT($A$2:$L$2,'Survey Encoding'!C136:N136)</f>
        <v>1.0311076931258887</v>
      </c>
      <c r="Q135">
        <f>SUMPRODUCT($A$2:$L$2,'Survey Encoding'!O136:Z136)</f>
        <v>1.3885885502977624</v>
      </c>
      <c r="R135">
        <f>SUMPRODUCT($A$2:$L$2,'Survey Encoding'!AA136:AL136)</f>
        <v>0.7637752520424238</v>
      </c>
      <c r="S135">
        <f>SUMPRODUCT($A$2:$L$2,'Survey Encoding'!AM136:AX136)</f>
        <v>-0.31352815855853916</v>
      </c>
      <c r="U135" s="11">
        <v>23</v>
      </c>
      <c r="V135" s="11">
        <v>2</v>
      </c>
      <c r="W135" s="1">
        <f t="shared" si="17"/>
        <v>2.8041702751355775</v>
      </c>
      <c r="X135" s="1">
        <f t="shared" si="18"/>
        <v>4.0091872913740838</v>
      </c>
      <c r="Y135" s="1">
        <f t="shared" si="19"/>
        <v>2.1463640092801262</v>
      </c>
      <c r="Z135" s="1">
        <f t="shared" si="20"/>
        <v>0.73086379864279061</v>
      </c>
      <c r="AB135" s="11">
        <v>23</v>
      </c>
      <c r="AC135" s="11">
        <v>2</v>
      </c>
      <c r="AD135">
        <f t="shared" si="21"/>
        <v>0.28937057636724789</v>
      </c>
      <c r="AE135">
        <f t="shared" si="22"/>
        <v>0.41371982563115672</v>
      </c>
      <c r="AF135">
        <f t="shared" si="16"/>
        <v>0.22148961351117596</v>
      </c>
      <c r="AG135">
        <f t="shared" si="16"/>
        <v>7.5419984490419451E-2</v>
      </c>
      <c r="AI135" s="11">
        <v>23</v>
      </c>
      <c r="AJ135" s="11">
        <v>2</v>
      </c>
      <c r="AK135">
        <f>SUMPRODUCT(AD135:AG135,'Coded Choice Data'!C135:F135)</f>
        <v>0.41371982563115672</v>
      </c>
      <c r="AL135">
        <f t="shared" si="23"/>
        <v>-0.88256628393845316</v>
      </c>
    </row>
    <row r="136" spans="14:38" x14ac:dyDescent="0.3">
      <c r="N136" s="11">
        <v>23</v>
      </c>
      <c r="O136" s="11">
        <v>3</v>
      </c>
      <c r="P136">
        <f>SUMPRODUCT($A$2:$L$2,'Survey Encoding'!C137:N137)</f>
        <v>0.15000228289066947</v>
      </c>
      <c r="Q136">
        <f>SUMPRODUCT($A$2:$L$2,'Survey Encoding'!O137:Z137)</f>
        <v>-0.5677340101284214</v>
      </c>
      <c r="R136">
        <f>SUMPRODUCT($A$2:$L$2,'Survey Encoding'!AA137:AL137)</f>
        <v>0.7637752520424238</v>
      </c>
      <c r="S136">
        <f>SUMPRODUCT($A$2:$L$2,'Survey Encoding'!AM137:AX137)</f>
        <v>-0.31352815855853916</v>
      </c>
      <c r="U136" s="11">
        <v>23</v>
      </c>
      <c r="V136" s="11">
        <v>3</v>
      </c>
      <c r="W136" s="1">
        <f t="shared" si="17"/>
        <v>1.1618368950718627</v>
      </c>
      <c r="X136" s="1">
        <f t="shared" si="18"/>
        <v>0.56680836661762923</v>
      </c>
      <c r="Y136" s="1">
        <f t="shared" si="19"/>
        <v>2.1463640092801262</v>
      </c>
      <c r="Z136" s="1">
        <f t="shared" si="20"/>
        <v>0.73086379864279061</v>
      </c>
      <c r="AB136" s="11">
        <v>23</v>
      </c>
      <c r="AC136" s="11">
        <v>3</v>
      </c>
      <c r="AD136">
        <f t="shared" si="21"/>
        <v>0.25225117529555219</v>
      </c>
      <c r="AE136">
        <f t="shared" si="22"/>
        <v>0.12306209008606635</v>
      </c>
      <c r="AF136">
        <f t="shared" si="16"/>
        <v>0.46600589656734631</v>
      </c>
      <c r="AG136">
        <f t="shared" si="16"/>
        <v>0.15868083805103511</v>
      </c>
      <c r="AI136" s="11">
        <v>23</v>
      </c>
      <c r="AJ136" s="11">
        <v>3</v>
      </c>
      <c r="AK136">
        <f>SUMPRODUCT(AD136:AG136,'Coded Choice Data'!C136:F136)</f>
        <v>0.25225117529555219</v>
      </c>
      <c r="AL136">
        <f t="shared" si="23"/>
        <v>-1.3773299605103049</v>
      </c>
    </row>
    <row r="137" spans="14:38" x14ac:dyDescent="0.3">
      <c r="N137" s="11">
        <v>23</v>
      </c>
      <c r="O137" s="11">
        <v>4</v>
      </c>
      <c r="P137">
        <f>SUMPRODUCT($A$2:$L$2,'Survey Encoding'!C138:N138)</f>
        <v>0.95180473721565084</v>
      </c>
      <c r="Q137">
        <f>SUMPRODUCT($A$2:$L$2,'Survey Encoding'!O138:Z138)</f>
        <v>1.0311076931258887</v>
      </c>
      <c r="R137">
        <f>SUMPRODUCT($A$2:$L$2,'Survey Encoding'!AA138:AL138)</f>
        <v>1.1267499129920266</v>
      </c>
      <c r="S137">
        <f>SUMPRODUCT($A$2:$L$2,'Survey Encoding'!AM138:AX138)</f>
        <v>-0.31352815855853916</v>
      </c>
      <c r="U137" s="11">
        <v>23</v>
      </c>
      <c r="V137" s="11">
        <v>4</v>
      </c>
      <c r="W137" s="1">
        <f t="shared" si="17"/>
        <v>2.5903803992282071</v>
      </c>
      <c r="X137" s="1">
        <f t="shared" si="18"/>
        <v>2.8041702751355775</v>
      </c>
      <c r="Y137" s="1">
        <f t="shared" si="19"/>
        <v>3.0856116792654009</v>
      </c>
      <c r="Z137" s="1">
        <f t="shared" si="20"/>
        <v>0.73086379864279061</v>
      </c>
      <c r="AB137" s="11">
        <v>23</v>
      </c>
      <c r="AC137" s="11">
        <v>4</v>
      </c>
      <c r="AD137">
        <f t="shared" si="21"/>
        <v>0.28122603892393339</v>
      </c>
      <c r="AE137">
        <f t="shared" si="22"/>
        <v>0.30443625159438997</v>
      </c>
      <c r="AF137">
        <f t="shared" si="16"/>
        <v>0.33499108875120381</v>
      </c>
      <c r="AG137">
        <f t="shared" si="16"/>
        <v>7.9346620730472786E-2</v>
      </c>
      <c r="AI137" s="11">
        <v>23</v>
      </c>
      <c r="AJ137" s="11">
        <v>4</v>
      </c>
      <c r="AK137">
        <f>SUMPRODUCT(AD137:AG137,'Coded Choice Data'!C137:F137)</f>
        <v>0.28122603892393339</v>
      </c>
      <c r="AL137">
        <f t="shared" si="23"/>
        <v>-1.2685965240299277</v>
      </c>
    </row>
    <row r="138" spans="14:38" x14ac:dyDescent="0.3">
      <c r="N138" s="11">
        <v>23</v>
      </c>
      <c r="O138" s="11">
        <v>5</v>
      </c>
      <c r="P138">
        <f>SUMPRODUCT($A$2:$L$2,'Survey Encoding'!C139:N139)</f>
        <v>1.3885885502977624</v>
      </c>
      <c r="Q138">
        <f>SUMPRODUCT($A$2:$L$2,'Survey Encoding'!O139:Z139)</f>
        <v>1.4106531441928372</v>
      </c>
      <c r="R138">
        <f>SUMPRODUCT($A$2:$L$2,'Survey Encoding'!AA139:AL139)</f>
        <v>1.1267499129920266</v>
      </c>
      <c r="S138">
        <f>SUMPRODUCT($A$2:$L$2,'Survey Encoding'!AM139:AX139)</f>
        <v>-0.31352815855853916</v>
      </c>
      <c r="U138" s="11">
        <v>23</v>
      </c>
      <c r="V138" s="11">
        <v>5</v>
      </c>
      <c r="W138" s="1">
        <f t="shared" si="17"/>
        <v>4.0091872913740838</v>
      </c>
      <c r="X138" s="1">
        <f t="shared" si="18"/>
        <v>4.0986315274095384</v>
      </c>
      <c r="Y138" s="1">
        <f t="shared" si="19"/>
        <v>3.0856116792654009</v>
      </c>
      <c r="Z138" s="1">
        <f t="shared" si="20"/>
        <v>0.73086379864279061</v>
      </c>
      <c r="AB138" s="11">
        <v>23</v>
      </c>
      <c r="AC138" s="11">
        <v>5</v>
      </c>
      <c r="AD138">
        <f t="shared" si="21"/>
        <v>0.33622008914073537</v>
      </c>
      <c r="AE138">
        <f t="shared" si="22"/>
        <v>0.34372109790569594</v>
      </c>
      <c r="AF138">
        <f t="shared" si="16"/>
        <v>0.25876681692781178</v>
      </c>
      <c r="AG138">
        <f t="shared" si="16"/>
        <v>6.1291996025756926E-2</v>
      </c>
      <c r="AI138" s="11">
        <v>23</v>
      </c>
      <c r="AJ138" s="11">
        <v>5</v>
      </c>
      <c r="AK138">
        <f>SUMPRODUCT(AD138:AG138,'Coded Choice Data'!C138:F138)</f>
        <v>0.34372109790569594</v>
      </c>
      <c r="AL138">
        <f t="shared" si="23"/>
        <v>-1.0679247123559716</v>
      </c>
    </row>
    <row r="139" spans="14:38" x14ac:dyDescent="0.3">
      <c r="N139" s="11">
        <v>23</v>
      </c>
      <c r="O139" s="11">
        <v>6</v>
      </c>
      <c r="P139">
        <f>SUMPRODUCT($A$2:$L$2,'Survey Encoding'!C140:N140)</f>
        <v>-1.1407000318204914</v>
      </c>
      <c r="Q139">
        <f>SUMPRODUCT($A$2:$L$2,'Survey Encoding'!O140:Z140)</f>
        <v>0.66877574618081503</v>
      </c>
      <c r="R139">
        <f>SUMPRODUCT($A$2:$L$2,'Survey Encoding'!AA140:AL140)</f>
        <v>0.15000228289066947</v>
      </c>
      <c r="S139">
        <f>SUMPRODUCT($A$2:$L$2,'Survey Encoding'!AM140:AX140)</f>
        <v>-0.31352815855853916</v>
      </c>
      <c r="U139" s="11">
        <v>23</v>
      </c>
      <c r="V139" s="11">
        <v>6</v>
      </c>
      <c r="W139" s="1">
        <f t="shared" si="17"/>
        <v>0.31959521666873603</v>
      </c>
      <c r="X139" s="1">
        <f t="shared" si="18"/>
        <v>1.9518463020380199</v>
      </c>
      <c r="Y139" s="1">
        <f t="shared" si="19"/>
        <v>1.1618368950718627</v>
      </c>
      <c r="Z139" s="1">
        <f t="shared" si="20"/>
        <v>0.73086379864279061</v>
      </c>
      <c r="AB139" s="11">
        <v>23</v>
      </c>
      <c r="AC139" s="11">
        <v>6</v>
      </c>
      <c r="AD139">
        <f t="shared" si="21"/>
        <v>7.6749352055124564E-2</v>
      </c>
      <c r="AE139">
        <f t="shared" si="22"/>
        <v>0.46872709971714432</v>
      </c>
      <c r="AF139">
        <f t="shared" si="16"/>
        <v>0.27900989827056494</v>
      </c>
      <c r="AG139">
        <f t="shared" si="16"/>
        <v>0.17551364995716615</v>
      </c>
      <c r="AI139" s="11">
        <v>23</v>
      </c>
      <c r="AJ139" s="11">
        <v>6</v>
      </c>
      <c r="AK139">
        <f>SUMPRODUCT(AD139:AG139,'Coded Choice Data'!C139:F139)</f>
        <v>0.46872709971714432</v>
      </c>
      <c r="AL139">
        <f t="shared" si="23"/>
        <v>-0.75773455682766766</v>
      </c>
    </row>
    <row r="140" spans="14:38" x14ac:dyDescent="0.3">
      <c r="N140" s="11">
        <v>24</v>
      </c>
      <c r="O140" s="11">
        <v>1</v>
      </c>
      <c r="P140">
        <f>SUMPRODUCT($A$2:$L$2,'Survey Encoding'!C141:N141)</f>
        <v>-0.5677340101284214</v>
      </c>
      <c r="Q140">
        <f>SUMPRODUCT($A$2:$L$2,'Survey Encoding'!O141:Z141)</f>
        <v>-0.45781983272127458</v>
      </c>
      <c r="R140">
        <f>SUMPRODUCT($A$2:$L$2,'Survey Encoding'!AA141:AL141)</f>
        <v>-1.1407000318204914</v>
      </c>
      <c r="S140">
        <f>SUMPRODUCT($A$2:$L$2,'Survey Encoding'!AM141:AX141)</f>
        <v>-0.31352815855853916</v>
      </c>
      <c r="U140" s="11">
        <v>24</v>
      </c>
      <c r="V140" s="11">
        <v>1</v>
      </c>
      <c r="W140" s="1">
        <f t="shared" si="17"/>
        <v>0.56680836661762923</v>
      </c>
      <c r="X140" s="1">
        <f t="shared" si="18"/>
        <v>0.63266145083175696</v>
      </c>
      <c r="Y140" s="1">
        <f t="shared" si="19"/>
        <v>0.31959521666873603</v>
      </c>
      <c r="Z140" s="1">
        <f t="shared" si="20"/>
        <v>0.73086379864279061</v>
      </c>
      <c r="AB140" s="11">
        <v>24</v>
      </c>
      <c r="AC140" s="11">
        <v>1</v>
      </c>
      <c r="AD140">
        <f t="shared" si="21"/>
        <v>0.25192279789671945</v>
      </c>
      <c r="AE140">
        <f t="shared" si="22"/>
        <v>0.28119176109913269</v>
      </c>
      <c r="AF140">
        <f t="shared" si="16"/>
        <v>0.14204681144361231</v>
      </c>
      <c r="AG140">
        <f t="shared" si="16"/>
        <v>0.32483862956053577</v>
      </c>
      <c r="AI140" s="11">
        <v>24</v>
      </c>
      <c r="AJ140" s="11">
        <v>1</v>
      </c>
      <c r="AK140">
        <f>SUMPRODUCT(AD140:AG140,'Coded Choice Data'!C140:F140)</f>
        <v>0.32483862956053577</v>
      </c>
      <c r="AL140">
        <f t="shared" si="23"/>
        <v>-1.1244267443905935</v>
      </c>
    </row>
    <row r="141" spans="14:38" x14ac:dyDescent="0.3">
      <c r="N141" s="11">
        <v>24</v>
      </c>
      <c r="O141" s="11">
        <v>2</v>
      </c>
      <c r="P141">
        <f>SUMPRODUCT($A$2:$L$2,'Survey Encoding'!C142:N142)</f>
        <v>1.0311076931258887</v>
      </c>
      <c r="Q141">
        <f>SUMPRODUCT($A$2:$L$2,'Survey Encoding'!O142:Z142)</f>
        <v>1.3885885502977624</v>
      </c>
      <c r="R141">
        <f>SUMPRODUCT($A$2:$L$2,'Survey Encoding'!AA142:AL142)</f>
        <v>0.7637752520424238</v>
      </c>
      <c r="S141">
        <f>SUMPRODUCT($A$2:$L$2,'Survey Encoding'!AM142:AX142)</f>
        <v>-0.31352815855853916</v>
      </c>
      <c r="U141" s="11">
        <v>24</v>
      </c>
      <c r="V141" s="11">
        <v>2</v>
      </c>
      <c r="W141" s="1">
        <f t="shared" si="17"/>
        <v>2.8041702751355775</v>
      </c>
      <c r="X141" s="1">
        <f t="shared" si="18"/>
        <v>4.0091872913740838</v>
      </c>
      <c r="Y141" s="1">
        <f t="shared" si="19"/>
        <v>2.1463640092801262</v>
      </c>
      <c r="Z141" s="1">
        <f t="shared" si="20"/>
        <v>0.73086379864279061</v>
      </c>
      <c r="AB141" s="11">
        <v>24</v>
      </c>
      <c r="AC141" s="11">
        <v>2</v>
      </c>
      <c r="AD141">
        <f t="shared" si="21"/>
        <v>0.28937057636724789</v>
      </c>
      <c r="AE141">
        <f t="shared" si="22"/>
        <v>0.41371982563115672</v>
      </c>
      <c r="AF141">
        <f t="shared" si="16"/>
        <v>0.22148961351117596</v>
      </c>
      <c r="AG141">
        <f t="shared" si="16"/>
        <v>7.5419984490419451E-2</v>
      </c>
      <c r="AI141" s="11">
        <v>24</v>
      </c>
      <c r="AJ141" s="11">
        <v>2</v>
      </c>
      <c r="AK141">
        <f>SUMPRODUCT(AD141:AG141,'Coded Choice Data'!C141:F141)</f>
        <v>0.22148961351117596</v>
      </c>
      <c r="AL141">
        <f t="shared" si="23"/>
        <v>-1.5073795821937916</v>
      </c>
    </row>
    <row r="142" spans="14:38" x14ac:dyDescent="0.3">
      <c r="N142" s="11">
        <v>24</v>
      </c>
      <c r="O142" s="11">
        <v>3</v>
      </c>
      <c r="P142">
        <f>SUMPRODUCT($A$2:$L$2,'Survey Encoding'!C143:N143)</f>
        <v>0.15000228289066947</v>
      </c>
      <c r="Q142">
        <f>SUMPRODUCT($A$2:$L$2,'Survey Encoding'!O143:Z143)</f>
        <v>-0.5677340101284214</v>
      </c>
      <c r="R142">
        <f>SUMPRODUCT($A$2:$L$2,'Survey Encoding'!AA143:AL143)</f>
        <v>0.7637752520424238</v>
      </c>
      <c r="S142">
        <f>SUMPRODUCT($A$2:$L$2,'Survey Encoding'!AM143:AX143)</f>
        <v>-0.31352815855853916</v>
      </c>
      <c r="U142" s="11">
        <v>24</v>
      </c>
      <c r="V142" s="11">
        <v>3</v>
      </c>
      <c r="W142" s="1">
        <f t="shared" si="17"/>
        <v>1.1618368950718627</v>
      </c>
      <c r="X142" s="1">
        <f t="shared" si="18"/>
        <v>0.56680836661762923</v>
      </c>
      <c r="Y142" s="1">
        <f t="shared" si="19"/>
        <v>2.1463640092801262</v>
      </c>
      <c r="Z142" s="1">
        <f t="shared" si="20"/>
        <v>0.73086379864279061</v>
      </c>
      <c r="AB142" s="11">
        <v>24</v>
      </c>
      <c r="AC142" s="11">
        <v>3</v>
      </c>
      <c r="AD142">
        <f t="shared" si="21"/>
        <v>0.25225117529555219</v>
      </c>
      <c r="AE142">
        <f t="shared" si="22"/>
        <v>0.12306209008606635</v>
      </c>
      <c r="AF142">
        <f t="shared" si="16"/>
        <v>0.46600589656734631</v>
      </c>
      <c r="AG142">
        <f t="shared" si="16"/>
        <v>0.15868083805103511</v>
      </c>
      <c r="AI142" s="11">
        <v>24</v>
      </c>
      <c r="AJ142" s="11">
        <v>3</v>
      </c>
      <c r="AK142">
        <f>SUMPRODUCT(AD142:AG142,'Coded Choice Data'!C142:F142)</f>
        <v>0.46600589656734631</v>
      </c>
      <c r="AL142">
        <f t="shared" si="23"/>
        <v>-0.7635569913585506</v>
      </c>
    </row>
    <row r="143" spans="14:38" x14ac:dyDescent="0.3">
      <c r="N143" s="11">
        <v>24</v>
      </c>
      <c r="O143" s="11">
        <v>4</v>
      </c>
      <c r="P143">
        <f>SUMPRODUCT($A$2:$L$2,'Survey Encoding'!C144:N144)</f>
        <v>0.95180473721565084</v>
      </c>
      <c r="Q143">
        <f>SUMPRODUCT($A$2:$L$2,'Survey Encoding'!O144:Z144)</f>
        <v>1.0311076931258887</v>
      </c>
      <c r="R143">
        <f>SUMPRODUCT($A$2:$L$2,'Survey Encoding'!AA144:AL144)</f>
        <v>1.1267499129920266</v>
      </c>
      <c r="S143">
        <f>SUMPRODUCT($A$2:$L$2,'Survey Encoding'!AM144:AX144)</f>
        <v>-0.31352815855853916</v>
      </c>
      <c r="U143" s="11">
        <v>24</v>
      </c>
      <c r="V143" s="11">
        <v>4</v>
      </c>
      <c r="W143" s="1">
        <f t="shared" si="17"/>
        <v>2.5903803992282071</v>
      </c>
      <c r="X143" s="1">
        <f t="shared" si="18"/>
        <v>2.8041702751355775</v>
      </c>
      <c r="Y143" s="1">
        <f t="shared" si="19"/>
        <v>3.0856116792654009</v>
      </c>
      <c r="Z143" s="1">
        <f t="shared" si="20"/>
        <v>0.73086379864279061</v>
      </c>
      <c r="AB143" s="11">
        <v>24</v>
      </c>
      <c r="AC143" s="11">
        <v>4</v>
      </c>
      <c r="AD143">
        <f t="shared" si="21"/>
        <v>0.28122603892393339</v>
      </c>
      <c r="AE143">
        <f t="shared" si="22"/>
        <v>0.30443625159438997</v>
      </c>
      <c r="AF143">
        <f t="shared" si="16"/>
        <v>0.33499108875120381</v>
      </c>
      <c r="AG143">
        <f t="shared" si="16"/>
        <v>7.9346620730472786E-2</v>
      </c>
      <c r="AI143" s="11">
        <v>24</v>
      </c>
      <c r="AJ143" s="11">
        <v>4</v>
      </c>
      <c r="AK143">
        <f>SUMPRODUCT(AD143:AG143,'Coded Choice Data'!C143:F143)</f>
        <v>0.33499108875120381</v>
      </c>
      <c r="AL143">
        <f t="shared" si="23"/>
        <v>-1.0936513482535519</v>
      </c>
    </row>
    <row r="144" spans="14:38" x14ac:dyDescent="0.3">
      <c r="N144" s="11">
        <v>24</v>
      </c>
      <c r="O144" s="11">
        <v>5</v>
      </c>
      <c r="P144">
        <f>SUMPRODUCT($A$2:$L$2,'Survey Encoding'!C145:N145)</f>
        <v>1.3885885502977624</v>
      </c>
      <c r="Q144">
        <f>SUMPRODUCT($A$2:$L$2,'Survey Encoding'!O145:Z145)</f>
        <v>1.4106531441928372</v>
      </c>
      <c r="R144">
        <f>SUMPRODUCT($A$2:$L$2,'Survey Encoding'!AA145:AL145)</f>
        <v>1.1267499129920266</v>
      </c>
      <c r="S144">
        <f>SUMPRODUCT($A$2:$L$2,'Survey Encoding'!AM145:AX145)</f>
        <v>-0.31352815855853916</v>
      </c>
      <c r="U144" s="11">
        <v>24</v>
      </c>
      <c r="V144" s="11">
        <v>5</v>
      </c>
      <c r="W144" s="1">
        <f t="shared" si="17"/>
        <v>4.0091872913740838</v>
      </c>
      <c r="X144" s="1">
        <f t="shared" si="18"/>
        <v>4.0986315274095384</v>
      </c>
      <c r="Y144" s="1">
        <f t="shared" si="19"/>
        <v>3.0856116792654009</v>
      </c>
      <c r="Z144" s="1">
        <f t="shared" si="20"/>
        <v>0.73086379864279061</v>
      </c>
      <c r="AB144" s="11">
        <v>24</v>
      </c>
      <c r="AC144" s="11">
        <v>5</v>
      </c>
      <c r="AD144">
        <f t="shared" si="21"/>
        <v>0.33622008914073537</v>
      </c>
      <c r="AE144">
        <f t="shared" si="22"/>
        <v>0.34372109790569594</v>
      </c>
      <c r="AF144">
        <f t="shared" si="16"/>
        <v>0.25876681692781178</v>
      </c>
      <c r="AG144">
        <f t="shared" si="16"/>
        <v>6.1291996025756926E-2</v>
      </c>
      <c r="AI144" s="11">
        <v>24</v>
      </c>
      <c r="AJ144" s="11">
        <v>5</v>
      </c>
      <c r="AK144">
        <f>SUMPRODUCT(AD144:AG144,'Coded Choice Data'!C144:F144)</f>
        <v>0.25876681692781178</v>
      </c>
      <c r="AL144">
        <f t="shared" si="23"/>
        <v>-1.3518279435567824</v>
      </c>
    </row>
    <row r="145" spans="14:38" x14ac:dyDescent="0.3">
      <c r="N145" s="11">
        <v>24</v>
      </c>
      <c r="O145" s="11">
        <v>6</v>
      </c>
      <c r="P145">
        <f>SUMPRODUCT($A$2:$L$2,'Survey Encoding'!C146:N146)</f>
        <v>-1.1407000318204914</v>
      </c>
      <c r="Q145">
        <f>SUMPRODUCT($A$2:$L$2,'Survey Encoding'!O146:Z146)</f>
        <v>0.66877574618081503</v>
      </c>
      <c r="R145">
        <f>SUMPRODUCT($A$2:$L$2,'Survey Encoding'!AA146:AL146)</f>
        <v>0.15000228289066947</v>
      </c>
      <c r="S145">
        <f>SUMPRODUCT($A$2:$L$2,'Survey Encoding'!AM146:AX146)</f>
        <v>-0.31352815855853916</v>
      </c>
      <c r="U145" s="11">
        <v>24</v>
      </c>
      <c r="V145" s="11">
        <v>6</v>
      </c>
      <c r="W145" s="1">
        <f t="shared" si="17"/>
        <v>0.31959521666873603</v>
      </c>
      <c r="X145" s="1">
        <f t="shared" si="18"/>
        <v>1.9518463020380199</v>
      </c>
      <c r="Y145" s="1">
        <f t="shared" si="19"/>
        <v>1.1618368950718627</v>
      </c>
      <c r="Z145" s="1">
        <f t="shared" si="20"/>
        <v>0.73086379864279061</v>
      </c>
      <c r="AB145" s="11">
        <v>24</v>
      </c>
      <c r="AC145" s="11">
        <v>6</v>
      </c>
      <c r="AD145">
        <f t="shared" si="21"/>
        <v>7.6749352055124564E-2</v>
      </c>
      <c r="AE145">
        <f t="shared" si="22"/>
        <v>0.46872709971714432</v>
      </c>
      <c r="AF145">
        <f t="shared" si="16"/>
        <v>0.27900989827056494</v>
      </c>
      <c r="AG145">
        <f t="shared" si="16"/>
        <v>0.17551364995716615</v>
      </c>
      <c r="AI145" s="11">
        <v>24</v>
      </c>
      <c r="AJ145" s="11">
        <v>6</v>
      </c>
      <c r="AK145">
        <f>SUMPRODUCT(AD145:AG145,'Coded Choice Data'!C145:F145)</f>
        <v>0.46872709971714432</v>
      </c>
      <c r="AL145">
        <f t="shared" si="23"/>
        <v>-0.75773455682766766</v>
      </c>
    </row>
    <row r="146" spans="14:38" x14ac:dyDescent="0.3">
      <c r="N146" s="11">
        <v>25</v>
      </c>
      <c r="O146" s="11">
        <v>1</v>
      </c>
      <c r="P146">
        <f>SUMPRODUCT($A$2:$L$2,'Survey Encoding'!C147:N147)</f>
        <v>-0.5677340101284214</v>
      </c>
      <c r="Q146">
        <f>SUMPRODUCT($A$2:$L$2,'Survey Encoding'!O147:Z147)</f>
        <v>-0.45781983272127458</v>
      </c>
      <c r="R146">
        <f>SUMPRODUCT($A$2:$L$2,'Survey Encoding'!AA147:AL147)</f>
        <v>-1.1407000318204914</v>
      </c>
      <c r="S146">
        <f>SUMPRODUCT($A$2:$L$2,'Survey Encoding'!AM147:AX147)</f>
        <v>-0.31352815855853916</v>
      </c>
      <c r="U146" s="11">
        <v>25</v>
      </c>
      <c r="V146" s="11">
        <v>1</v>
      </c>
      <c r="W146" s="1">
        <f t="shared" si="17"/>
        <v>0.56680836661762923</v>
      </c>
      <c r="X146" s="1">
        <f t="shared" si="18"/>
        <v>0.63266145083175696</v>
      </c>
      <c r="Y146" s="1">
        <f t="shared" si="19"/>
        <v>0.31959521666873603</v>
      </c>
      <c r="Z146" s="1">
        <f t="shared" si="20"/>
        <v>0.73086379864279061</v>
      </c>
      <c r="AB146" s="11">
        <v>25</v>
      </c>
      <c r="AC146" s="11">
        <v>1</v>
      </c>
      <c r="AD146">
        <f t="shared" si="21"/>
        <v>0.25192279789671945</v>
      </c>
      <c r="AE146">
        <f t="shared" si="22"/>
        <v>0.28119176109913269</v>
      </c>
      <c r="AF146">
        <f t="shared" ref="AF146:AG193" si="24">Y146/SUM($W146:$Z146)</f>
        <v>0.14204681144361231</v>
      </c>
      <c r="AG146">
        <f t="shared" si="24"/>
        <v>0.32483862956053577</v>
      </c>
      <c r="AI146" s="11">
        <v>25</v>
      </c>
      <c r="AJ146" s="11">
        <v>1</v>
      </c>
      <c r="AK146">
        <f>SUMPRODUCT(AD146:AG146,'Coded Choice Data'!C146:F146)</f>
        <v>0.25192279789671945</v>
      </c>
      <c r="AL146">
        <f t="shared" si="23"/>
        <v>-1.3786325959604759</v>
      </c>
    </row>
    <row r="147" spans="14:38" x14ac:dyDescent="0.3">
      <c r="N147" s="11">
        <v>25</v>
      </c>
      <c r="O147" s="11">
        <v>2</v>
      </c>
      <c r="P147">
        <f>SUMPRODUCT($A$2:$L$2,'Survey Encoding'!C148:N148)</f>
        <v>1.0311076931258887</v>
      </c>
      <c r="Q147">
        <f>SUMPRODUCT($A$2:$L$2,'Survey Encoding'!O148:Z148)</f>
        <v>1.3885885502977624</v>
      </c>
      <c r="R147">
        <f>SUMPRODUCT($A$2:$L$2,'Survey Encoding'!AA148:AL148)</f>
        <v>0.7637752520424238</v>
      </c>
      <c r="S147">
        <f>SUMPRODUCT($A$2:$L$2,'Survey Encoding'!AM148:AX148)</f>
        <v>-0.31352815855853916</v>
      </c>
      <c r="U147" s="11">
        <v>25</v>
      </c>
      <c r="V147" s="11">
        <v>2</v>
      </c>
      <c r="W147" s="1">
        <f t="shared" si="17"/>
        <v>2.8041702751355775</v>
      </c>
      <c r="X147" s="1">
        <f t="shared" si="18"/>
        <v>4.0091872913740838</v>
      </c>
      <c r="Y147" s="1">
        <f t="shared" si="19"/>
        <v>2.1463640092801262</v>
      </c>
      <c r="Z147" s="1">
        <f t="shared" si="20"/>
        <v>0.73086379864279061</v>
      </c>
      <c r="AB147" s="11">
        <v>25</v>
      </c>
      <c r="AC147" s="11">
        <v>2</v>
      </c>
      <c r="AD147">
        <f t="shared" si="21"/>
        <v>0.28937057636724789</v>
      </c>
      <c r="AE147">
        <f t="shared" si="22"/>
        <v>0.41371982563115672</v>
      </c>
      <c r="AF147">
        <f t="shared" si="24"/>
        <v>0.22148961351117596</v>
      </c>
      <c r="AG147">
        <f t="shared" si="24"/>
        <v>7.5419984490419451E-2</v>
      </c>
      <c r="AI147" s="11">
        <v>25</v>
      </c>
      <c r="AJ147" s="11">
        <v>2</v>
      </c>
      <c r="AK147">
        <f>SUMPRODUCT(AD147:AG147,'Coded Choice Data'!C147:F147)</f>
        <v>0.41371982563115672</v>
      </c>
      <c r="AL147">
        <f t="shared" si="23"/>
        <v>-0.88256628393845316</v>
      </c>
    </row>
    <row r="148" spans="14:38" x14ac:dyDescent="0.3">
      <c r="N148" s="11">
        <v>25</v>
      </c>
      <c r="O148" s="11">
        <v>3</v>
      </c>
      <c r="P148">
        <f>SUMPRODUCT($A$2:$L$2,'Survey Encoding'!C149:N149)</f>
        <v>0.15000228289066947</v>
      </c>
      <c r="Q148">
        <f>SUMPRODUCT($A$2:$L$2,'Survey Encoding'!O149:Z149)</f>
        <v>-0.5677340101284214</v>
      </c>
      <c r="R148">
        <f>SUMPRODUCT($A$2:$L$2,'Survey Encoding'!AA149:AL149)</f>
        <v>0.7637752520424238</v>
      </c>
      <c r="S148">
        <f>SUMPRODUCT($A$2:$L$2,'Survey Encoding'!AM149:AX149)</f>
        <v>-0.31352815855853916</v>
      </c>
      <c r="U148" s="11">
        <v>25</v>
      </c>
      <c r="V148" s="11">
        <v>3</v>
      </c>
      <c r="W148" s="1">
        <f t="shared" si="17"/>
        <v>1.1618368950718627</v>
      </c>
      <c r="X148" s="1">
        <f t="shared" si="18"/>
        <v>0.56680836661762923</v>
      </c>
      <c r="Y148" s="1">
        <f t="shared" si="19"/>
        <v>2.1463640092801262</v>
      </c>
      <c r="Z148" s="1">
        <f t="shared" si="20"/>
        <v>0.73086379864279061</v>
      </c>
      <c r="AB148" s="11">
        <v>25</v>
      </c>
      <c r="AC148" s="11">
        <v>3</v>
      </c>
      <c r="AD148">
        <f t="shared" si="21"/>
        <v>0.25225117529555219</v>
      </c>
      <c r="AE148">
        <f t="shared" si="22"/>
        <v>0.12306209008606635</v>
      </c>
      <c r="AF148">
        <f t="shared" si="24"/>
        <v>0.46600589656734631</v>
      </c>
      <c r="AG148">
        <f t="shared" si="24"/>
        <v>0.15868083805103511</v>
      </c>
      <c r="AI148" s="11">
        <v>25</v>
      </c>
      <c r="AJ148" s="11">
        <v>3</v>
      </c>
      <c r="AK148">
        <f>SUMPRODUCT(AD148:AG148,'Coded Choice Data'!C148:F148)</f>
        <v>0.12306209008606635</v>
      </c>
      <c r="AL148">
        <f t="shared" si="23"/>
        <v>-2.0950662535293958</v>
      </c>
    </row>
    <row r="149" spans="14:38" x14ac:dyDescent="0.3">
      <c r="N149" s="11">
        <v>25</v>
      </c>
      <c r="O149" s="11">
        <v>4</v>
      </c>
      <c r="P149">
        <f>SUMPRODUCT($A$2:$L$2,'Survey Encoding'!C150:N150)</f>
        <v>0.95180473721565084</v>
      </c>
      <c r="Q149">
        <f>SUMPRODUCT($A$2:$L$2,'Survey Encoding'!O150:Z150)</f>
        <v>1.0311076931258887</v>
      </c>
      <c r="R149">
        <f>SUMPRODUCT($A$2:$L$2,'Survey Encoding'!AA150:AL150)</f>
        <v>1.1267499129920266</v>
      </c>
      <c r="S149">
        <f>SUMPRODUCT($A$2:$L$2,'Survey Encoding'!AM150:AX150)</f>
        <v>-0.31352815855853916</v>
      </c>
      <c r="U149" s="11">
        <v>25</v>
      </c>
      <c r="V149" s="11">
        <v>4</v>
      </c>
      <c r="W149" s="1">
        <f t="shared" si="17"/>
        <v>2.5903803992282071</v>
      </c>
      <c r="X149" s="1">
        <f t="shared" si="18"/>
        <v>2.8041702751355775</v>
      </c>
      <c r="Y149" s="1">
        <f t="shared" si="19"/>
        <v>3.0856116792654009</v>
      </c>
      <c r="Z149" s="1">
        <f t="shared" si="20"/>
        <v>0.73086379864279061</v>
      </c>
      <c r="AB149" s="11">
        <v>25</v>
      </c>
      <c r="AC149" s="11">
        <v>4</v>
      </c>
      <c r="AD149">
        <f t="shared" si="21"/>
        <v>0.28122603892393339</v>
      </c>
      <c r="AE149">
        <f t="shared" si="22"/>
        <v>0.30443625159438997</v>
      </c>
      <c r="AF149">
        <f t="shared" si="24"/>
        <v>0.33499108875120381</v>
      </c>
      <c r="AG149">
        <f t="shared" si="24"/>
        <v>7.9346620730472786E-2</v>
      </c>
      <c r="AI149" s="11">
        <v>25</v>
      </c>
      <c r="AJ149" s="11">
        <v>4</v>
      </c>
      <c r="AK149">
        <f>SUMPRODUCT(AD149:AG149,'Coded Choice Data'!C149:F149)</f>
        <v>0.28122603892393339</v>
      </c>
      <c r="AL149">
        <f t="shared" si="23"/>
        <v>-1.2685965240299277</v>
      </c>
    </row>
    <row r="150" spans="14:38" x14ac:dyDescent="0.3">
      <c r="N150" s="11">
        <v>25</v>
      </c>
      <c r="O150" s="11">
        <v>5</v>
      </c>
      <c r="P150">
        <f>SUMPRODUCT($A$2:$L$2,'Survey Encoding'!C151:N151)</f>
        <v>1.3885885502977624</v>
      </c>
      <c r="Q150">
        <f>SUMPRODUCT($A$2:$L$2,'Survey Encoding'!O151:Z151)</f>
        <v>1.4106531441928372</v>
      </c>
      <c r="R150">
        <f>SUMPRODUCT($A$2:$L$2,'Survey Encoding'!AA151:AL151)</f>
        <v>1.1267499129920266</v>
      </c>
      <c r="S150">
        <f>SUMPRODUCT($A$2:$L$2,'Survey Encoding'!AM151:AX151)</f>
        <v>-0.31352815855853916</v>
      </c>
      <c r="U150" s="11">
        <v>25</v>
      </c>
      <c r="V150" s="11">
        <v>5</v>
      </c>
      <c r="W150" s="1">
        <f t="shared" si="17"/>
        <v>4.0091872913740838</v>
      </c>
      <c r="X150" s="1">
        <f t="shared" si="18"/>
        <v>4.0986315274095384</v>
      </c>
      <c r="Y150" s="1">
        <f t="shared" si="19"/>
        <v>3.0856116792654009</v>
      </c>
      <c r="Z150" s="1">
        <f t="shared" si="20"/>
        <v>0.73086379864279061</v>
      </c>
      <c r="AB150" s="11">
        <v>25</v>
      </c>
      <c r="AC150" s="11">
        <v>5</v>
      </c>
      <c r="AD150">
        <f t="shared" si="21"/>
        <v>0.33622008914073537</v>
      </c>
      <c r="AE150">
        <f t="shared" si="22"/>
        <v>0.34372109790569594</v>
      </c>
      <c r="AF150">
        <f t="shared" si="24"/>
        <v>0.25876681692781178</v>
      </c>
      <c r="AG150">
        <f t="shared" si="24"/>
        <v>6.1291996025756926E-2</v>
      </c>
      <c r="AI150" s="11">
        <v>25</v>
      </c>
      <c r="AJ150" s="11">
        <v>5</v>
      </c>
      <c r="AK150">
        <f>SUMPRODUCT(AD150:AG150,'Coded Choice Data'!C150:F150)</f>
        <v>0.33622008914073537</v>
      </c>
      <c r="AL150">
        <f t="shared" si="23"/>
        <v>-1.0899893062510464</v>
      </c>
    </row>
    <row r="151" spans="14:38" x14ac:dyDescent="0.3">
      <c r="N151" s="11">
        <v>25</v>
      </c>
      <c r="O151" s="11">
        <v>6</v>
      </c>
      <c r="P151">
        <f>SUMPRODUCT($A$2:$L$2,'Survey Encoding'!C152:N152)</f>
        <v>-1.1407000318204914</v>
      </c>
      <c r="Q151">
        <f>SUMPRODUCT($A$2:$L$2,'Survey Encoding'!O152:Z152)</f>
        <v>0.66877574618081503</v>
      </c>
      <c r="R151">
        <f>SUMPRODUCT($A$2:$L$2,'Survey Encoding'!AA152:AL152)</f>
        <v>0.15000228289066947</v>
      </c>
      <c r="S151">
        <f>SUMPRODUCT($A$2:$L$2,'Survey Encoding'!AM152:AX152)</f>
        <v>-0.31352815855853916</v>
      </c>
      <c r="U151" s="11">
        <v>25</v>
      </c>
      <c r="V151" s="11">
        <v>6</v>
      </c>
      <c r="W151" s="1">
        <f t="shared" si="17"/>
        <v>0.31959521666873603</v>
      </c>
      <c r="X151" s="1">
        <f t="shared" si="18"/>
        <v>1.9518463020380199</v>
      </c>
      <c r="Y151" s="1">
        <f t="shared" si="19"/>
        <v>1.1618368950718627</v>
      </c>
      <c r="Z151" s="1">
        <f t="shared" si="20"/>
        <v>0.73086379864279061</v>
      </c>
      <c r="AB151" s="11">
        <v>25</v>
      </c>
      <c r="AC151" s="11">
        <v>6</v>
      </c>
      <c r="AD151">
        <f t="shared" si="21"/>
        <v>7.6749352055124564E-2</v>
      </c>
      <c r="AE151">
        <f t="shared" si="22"/>
        <v>0.46872709971714432</v>
      </c>
      <c r="AF151">
        <f t="shared" si="24"/>
        <v>0.27900989827056494</v>
      </c>
      <c r="AG151">
        <f t="shared" si="24"/>
        <v>0.17551364995716615</v>
      </c>
      <c r="AI151" s="11">
        <v>25</v>
      </c>
      <c r="AJ151" s="11">
        <v>6</v>
      </c>
      <c r="AK151">
        <f>SUMPRODUCT(AD151:AG151,'Coded Choice Data'!C151:F151)</f>
        <v>7.6749352055124564E-2</v>
      </c>
      <c r="AL151">
        <f t="shared" si="23"/>
        <v>-2.5672103348289741</v>
      </c>
    </row>
    <row r="152" spans="14:38" x14ac:dyDescent="0.3">
      <c r="N152" s="11">
        <v>26</v>
      </c>
      <c r="O152" s="11">
        <v>1</v>
      </c>
      <c r="P152">
        <f>SUMPRODUCT($A$2:$L$2,'Survey Encoding'!C153:N153)</f>
        <v>-0.5677340101284214</v>
      </c>
      <c r="Q152">
        <f>SUMPRODUCT($A$2:$L$2,'Survey Encoding'!O153:Z153)</f>
        <v>-0.45781983272127458</v>
      </c>
      <c r="R152">
        <f>SUMPRODUCT($A$2:$L$2,'Survey Encoding'!AA153:AL153)</f>
        <v>-1.1407000318204914</v>
      </c>
      <c r="S152">
        <f>SUMPRODUCT($A$2:$L$2,'Survey Encoding'!AM153:AX153)</f>
        <v>-0.31352815855853916</v>
      </c>
      <c r="U152" s="11">
        <v>26</v>
      </c>
      <c r="V152" s="11">
        <v>1</v>
      </c>
      <c r="W152" s="1">
        <f t="shared" si="17"/>
        <v>0.56680836661762923</v>
      </c>
      <c r="X152" s="1">
        <f t="shared" si="18"/>
        <v>0.63266145083175696</v>
      </c>
      <c r="Y152" s="1">
        <f t="shared" si="19"/>
        <v>0.31959521666873603</v>
      </c>
      <c r="Z152" s="1">
        <f t="shared" si="20"/>
        <v>0.73086379864279061</v>
      </c>
      <c r="AB152" s="11">
        <v>26</v>
      </c>
      <c r="AC152" s="11">
        <v>1</v>
      </c>
      <c r="AD152">
        <f t="shared" si="21"/>
        <v>0.25192279789671945</v>
      </c>
      <c r="AE152">
        <f t="shared" si="22"/>
        <v>0.28119176109913269</v>
      </c>
      <c r="AF152">
        <f t="shared" si="24"/>
        <v>0.14204681144361231</v>
      </c>
      <c r="AG152">
        <f t="shared" si="24"/>
        <v>0.32483862956053577</v>
      </c>
      <c r="AI152" s="11">
        <v>26</v>
      </c>
      <c r="AJ152" s="11">
        <v>1</v>
      </c>
      <c r="AK152">
        <f>SUMPRODUCT(AD152:AG152,'Coded Choice Data'!C152:F152)</f>
        <v>0.32483862956053577</v>
      </c>
      <c r="AL152">
        <f t="shared" si="23"/>
        <v>-1.1244267443905935</v>
      </c>
    </row>
    <row r="153" spans="14:38" x14ac:dyDescent="0.3">
      <c r="N153" s="11">
        <v>26</v>
      </c>
      <c r="O153" s="11">
        <v>2</v>
      </c>
      <c r="P153">
        <f>SUMPRODUCT($A$2:$L$2,'Survey Encoding'!C154:N154)</f>
        <v>1.0311076931258887</v>
      </c>
      <c r="Q153">
        <f>SUMPRODUCT($A$2:$L$2,'Survey Encoding'!O154:Z154)</f>
        <v>1.3885885502977624</v>
      </c>
      <c r="R153">
        <f>SUMPRODUCT($A$2:$L$2,'Survey Encoding'!AA154:AL154)</f>
        <v>0.7637752520424238</v>
      </c>
      <c r="S153">
        <f>SUMPRODUCT($A$2:$L$2,'Survey Encoding'!AM154:AX154)</f>
        <v>-0.31352815855853916</v>
      </c>
      <c r="U153" s="11">
        <v>26</v>
      </c>
      <c r="V153" s="11">
        <v>2</v>
      </c>
      <c r="W153" s="1">
        <f t="shared" si="17"/>
        <v>2.8041702751355775</v>
      </c>
      <c r="X153" s="1">
        <f t="shared" si="18"/>
        <v>4.0091872913740838</v>
      </c>
      <c r="Y153" s="1">
        <f t="shared" si="19"/>
        <v>2.1463640092801262</v>
      </c>
      <c r="Z153" s="1">
        <f t="shared" si="20"/>
        <v>0.73086379864279061</v>
      </c>
      <c r="AB153" s="11">
        <v>26</v>
      </c>
      <c r="AC153" s="11">
        <v>2</v>
      </c>
      <c r="AD153">
        <f t="shared" si="21"/>
        <v>0.28937057636724789</v>
      </c>
      <c r="AE153">
        <f t="shared" si="22"/>
        <v>0.41371982563115672</v>
      </c>
      <c r="AF153">
        <f t="shared" si="24"/>
        <v>0.22148961351117596</v>
      </c>
      <c r="AG153">
        <f t="shared" si="24"/>
        <v>7.5419984490419451E-2</v>
      </c>
      <c r="AI153" s="11">
        <v>26</v>
      </c>
      <c r="AJ153" s="11">
        <v>2</v>
      </c>
      <c r="AK153">
        <f>SUMPRODUCT(AD153:AG153,'Coded Choice Data'!C153:F153)</f>
        <v>0.41371982563115672</v>
      </c>
      <c r="AL153">
        <f t="shared" si="23"/>
        <v>-0.88256628393845316</v>
      </c>
    </row>
    <row r="154" spans="14:38" x14ac:dyDescent="0.3">
      <c r="N154" s="11">
        <v>26</v>
      </c>
      <c r="O154" s="11">
        <v>3</v>
      </c>
      <c r="P154">
        <f>SUMPRODUCT($A$2:$L$2,'Survey Encoding'!C155:N155)</f>
        <v>0.15000228289066947</v>
      </c>
      <c r="Q154">
        <f>SUMPRODUCT($A$2:$L$2,'Survey Encoding'!O155:Z155)</f>
        <v>-0.5677340101284214</v>
      </c>
      <c r="R154">
        <f>SUMPRODUCT($A$2:$L$2,'Survey Encoding'!AA155:AL155)</f>
        <v>0.7637752520424238</v>
      </c>
      <c r="S154">
        <f>SUMPRODUCT($A$2:$L$2,'Survey Encoding'!AM155:AX155)</f>
        <v>-0.31352815855853916</v>
      </c>
      <c r="U154" s="11">
        <v>26</v>
      </c>
      <c r="V154" s="11">
        <v>3</v>
      </c>
      <c r="W154" s="1">
        <f t="shared" si="17"/>
        <v>1.1618368950718627</v>
      </c>
      <c r="X154" s="1">
        <f t="shared" si="18"/>
        <v>0.56680836661762923</v>
      </c>
      <c r="Y154" s="1">
        <f t="shared" si="19"/>
        <v>2.1463640092801262</v>
      </c>
      <c r="Z154" s="1">
        <f t="shared" si="20"/>
        <v>0.73086379864279061</v>
      </c>
      <c r="AB154" s="11">
        <v>26</v>
      </c>
      <c r="AC154" s="11">
        <v>3</v>
      </c>
      <c r="AD154">
        <f t="shared" si="21"/>
        <v>0.25225117529555219</v>
      </c>
      <c r="AE154">
        <f t="shared" si="22"/>
        <v>0.12306209008606635</v>
      </c>
      <c r="AF154">
        <f t="shared" si="24"/>
        <v>0.46600589656734631</v>
      </c>
      <c r="AG154">
        <f t="shared" si="24"/>
        <v>0.15868083805103511</v>
      </c>
      <c r="AI154" s="11">
        <v>26</v>
      </c>
      <c r="AJ154" s="11">
        <v>3</v>
      </c>
      <c r="AK154">
        <f>SUMPRODUCT(AD154:AG154,'Coded Choice Data'!C154:F154)</f>
        <v>0.25225117529555219</v>
      </c>
      <c r="AL154">
        <f t="shared" si="23"/>
        <v>-1.3773299605103049</v>
      </c>
    </row>
    <row r="155" spans="14:38" x14ac:dyDescent="0.3">
      <c r="N155" s="11">
        <v>26</v>
      </c>
      <c r="O155" s="11">
        <v>4</v>
      </c>
      <c r="P155">
        <f>SUMPRODUCT($A$2:$L$2,'Survey Encoding'!C156:N156)</f>
        <v>0.95180473721565084</v>
      </c>
      <c r="Q155">
        <f>SUMPRODUCT($A$2:$L$2,'Survey Encoding'!O156:Z156)</f>
        <v>1.0311076931258887</v>
      </c>
      <c r="R155">
        <f>SUMPRODUCT($A$2:$L$2,'Survey Encoding'!AA156:AL156)</f>
        <v>1.1267499129920266</v>
      </c>
      <c r="S155">
        <f>SUMPRODUCT($A$2:$L$2,'Survey Encoding'!AM156:AX156)</f>
        <v>-0.31352815855853916</v>
      </c>
      <c r="U155" s="11">
        <v>26</v>
      </c>
      <c r="V155" s="11">
        <v>4</v>
      </c>
      <c r="W155" s="1">
        <f t="shared" si="17"/>
        <v>2.5903803992282071</v>
      </c>
      <c r="X155" s="1">
        <f t="shared" si="18"/>
        <v>2.8041702751355775</v>
      </c>
      <c r="Y155" s="1">
        <f t="shared" si="19"/>
        <v>3.0856116792654009</v>
      </c>
      <c r="Z155" s="1">
        <f t="shared" si="20"/>
        <v>0.73086379864279061</v>
      </c>
      <c r="AB155" s="11">
        <v>26</v>
      </c>
      <c r="AC155" s="11">
        <v>4</v>
      </c>
      <c r="AD155">
        <f t="shared" si="21"/>
        <v>0.28122603892393339</v>
      </c>
      <c r="AE155">
        <f t="shared" si="22"/>
        <v>0.30443625159438997</v>
      </c>
      <c r="AF155">
        <f t="shared" si="24"/>
        <v>0.33499108875120381</v>
      </c>
      <c r="AG155">
        <f t="shared" si="24"/>
        <v>7.9346620730472786E-2</v>
      </c>
      <c r="AI155" s="11">
        <v>26</v>
      </c>
      <c r="AJ155" s="11">
        <v>4</v>
      </c>
      <c r="AK155">
        <f>SUMPRODUCT(AD155:AG155,'Coded Choice Data'!C155:F155)</f>
        <v>0.28122603892393339</v>
      </c>
      <c r="AL155">
        <f t="shared" si="23"/>
        <v>-1.2685965240299277</v>
      </c>
    </row>
    <row r="156" spans="14:38" x14ac:dyDescent="0.3">
      <c r="N156" s="11">
        <v>26</v>
      </c>
      <c r="O156" s="11">
        <v>5</v>
      </c>
      <c r="P156">
        <f>SUMPRODUCT($A$2:$L$2,'Survey Encoding'!C157:N157)</f>
        <v>1.3885885502977624</v>
      </c>
      <c r="Q156">
        <f>SUMPRODUCT($A$2:$L$2,'Survey Encoding'!O157:Z157)</f>
        <v>1.4106531441928372</v>
      </c>
      <c r="R156">
        <f>SUMPRODUCT($A$2:$L$2,'Survey Encoding'!AA157:AL157)</f>
        <v>1.1267499129920266</v>
      </c>
      <c r="S156">
        <f>SUMPRODUCT($A$2:$L$2,'Survey Encoding'!AM157:AX157)</f>
        <v>-0.31352815855853916</v>
      </c>
      <c r="U156" s="11">
        <v>26</v>
      </c>
      <c r="V156" s="11">
        <v>5</v>
      </c>
      <c r="W156" s="1">
        <f t="shared" si="17"/>
        <v>4.0091872913740838</v>
      </c>
      <c r="X156" s="1">
        <f t="shared" si="18"/>
        <v>4.0986315274095384</v>
      </c>
      <c r="Y156" s="1">
        <f t="shared" si="19"/>
        <v>3.0856116792654009</v>
      </c>
      <c r="Z156" s="1">
        <f t="shared" si="20"/>
        <v>0.73086379864279061</v>
      </c>
      <c r="AB156" s="11">
        <v>26</v>
      </c>
      <c r="AC156" s="11">
        <v>5</v>
      </c>
      <c r="AD156">
        <f t="shared" si="21"/>
        <v>0.33622008914073537</v>
      </c>
      <c r="AE156">
        <f t="shared" si="22"/>
        <v>0.34372109790569594</v>
      </c>
      <c r="AF156">
        <f t="shared" si="24"/>
        <v>0.25876681692781178</v>
      </c>
      <c r="AG156">
        <f t="shared" si="24"/>
        <v>6.1291996025756926E-2</v>
      </c>
      <c r="AI156" s="11">
        <v>26</v>
      </c>
      <c r="AJ156" s="11">
        <v>5</v>
      </c>
      <c r="AK156">
        <f>SUMPRODUCT(AD156:AG156,'Coded Choice Data'!C156:F156)</f>
        <v>0.33622008914073537</v>
      </c>
      <c r="AL156">
        <f t="shared" si="23"/>
        <v>-1.0899893062510464</v>
      </c>
    </row>
    <row r="157" spans="14:38" x14ac:dyDescent="0.3">
      <c r="N157" s="11">
        <v>26</v>
      </c>
      <c r="O157" s="11">
        <v>6</v>
      </c>
      <c r="P157">
        <f>SUMPRODUCT($A$2:$L$2,'Survey Encoding'!C158:N158)</f>
        <v>-1.1407000318204914</v>
      </c>
      <c r="Q157">
        <f>SUMPRODUCT($A$2:$L$2,'Survey Encoding'!O158:Z158)</f>
        <v>0.66877574618081503</v>
      </c>
      <c r="R157">
        <f>SUMPRODUCT($A$2:$L$2,'Survey Encoding'!AA158:AL158)</f>
        <v>0.15000228289066947</v>
      </c>
      <c r="S157">
        <f>SUMPRODUCT($A$2:$L$2,'Survey Encoding'!AM158:AX158)</f>
        <v>-0.31352815855853916</v>
      </c>
      <c r="U157" s="11">
        <v>26</v>
      </c>
      <c r="V157" s="11">
        <v>6</v>
      </c>
      <c r="W157" s="1">
        <f t="shared" si="17"/>
        <v>0.31959521666873603</v>
      </c>
      <c r="X157" s="1">
        <f t="shared" si="18"/>
        <v>1.9518463020380199</v>
      </c>
      <c r="Y157" s="1">
        <f t="shared" si="19"/>
        <v>1.1618368950718627</v>
      </c>
      <c r="Z157" s="1">
        <f t="shared" si="20"/>
        <v>0.73086379864279061</v>
      </c>
      <c r="AB157" s="11">
        <v>26</v>
      </c>
      <c r="AC157" s="11">
        <v>6</v>
      </c>
      <c r="AD157">
        <f t="shared" si="21"/>
        <v>7.6749352055124564E-2</v>
      </c>
      <c r="AE157">
        <f t="shared" si="22"/>
        <v>0.46872709971714432</v>
      </c>
      <c r="AF157">
        <f t="shared" si="24"/>
        <v>0.27900989827056494</v>
      </c>
      <c r="AG157">
        <f t="shared" si="24"/>
        <v>0.17551364995716615</v>
      </c>
      <c r="AI157" s="11">
        <v>26</v>
      </c>
      <c r="AJ157" s="11">
        <v>6</v>
      </c>
      <c r="AK157">
        <f>SUMPRODUCT(AD157:AG157,'Coded Choice Data'!C157:F157)</f>
        <v>0.27900989827056494</v>
      </c>
      <c r="AL157">
        <f t="shared" si="23"/>
        <v>-1.2765080201178134</v>
      </c>
    </row>
    <row r="158" spans="14:38" x14ac:dyDescent="0.3">
      <c r="N158" s="11">
        <v>27</v>
      </c>
      <c r="O158" s="11">
        <v>1</v>
      </c>
      <c r="P158">
        <f>SUMPRODUCT($A$2:$L$2,'Survey Encoding'!C159:N159)</f>
        <v>-0.5677340101284214</v>
      </c>
      <c r="Q158">
        <f>SUMPRODUCT($A$2:$L$2,'Survey Encoding'!O159:Z159)</f>
        <v>-0.45781983272127458</v>
      </c>
      <c r="R158">
        <f>SUMPRODUCT($A$2:$L$2,'Survey Encoding'!AA159:AL159)</f>
        <v>-1.1407000318204914</v>
      </c>
      <c r="S158">
        <f>SUMPRODUCT($A$2:$L$2,'Survey Encoding'!AM159:AX159)</f>
        <v>-0.31352815855853916</v>
      </c>
      <c r="U158" s="11">
        <v>27</v>
      </c>
      <c r="V158" s="11">
        <v>1</v>
      </c>
      <c r="W158" s="1">
        <f t="shared" si="17"/>
        <v>0.56680836661762923</v>
      </c>
      <c r="X158" s="1">
        <f t="shared" si="18"/>
        <v>0.63266145083175696</v>
      </c>
      <c r="Y158" s="1">
        <f t="shared" si="19"/>
        <v>0.31959521666873603</v>
      </c>
      <c r="Z158" s="1">
        <f t="shared" si="20"/>
        <v>0.73086379864279061</v>
      </c>
      <c r="AB158" s="11">
        <v>27</v>
      </c>
      <c r="AC158" s="11">
        <v>1</v>
      </c>
      <c r="AD158">
        <f t="shared" si="21"/>
        <v>0.25192279789671945</v>
      </c>
      <c r="AE158">
        <f t="shared" si="22"/>
        <v>0.28119176109913269</v>
      </c>
      <c r="AF158">
        <f t="shared" si="24"/>
        <v>0.14204681144361231</v>
      </c>
      <c r="AG158">
        <f t="shared" si="24"/>
        <v>0.32483862956053577</v>
      </c>
      <c r="AI158" s="11">
        <v>27</v>
      </c>
      <c r="AJ158" s="11">
        <v>1</v>
      </c>
      <c r="AK158">
        <f>SUMPRODUCT(AD158:AG158,'Coded Choice Data'!C158:F158)</f>
        <v>0.25192279789671945</v>
      </c>
      <c r="AL158">
        <f t="shared" si="23"/>
        <v>-1.3786325959604759</v>
      </c>
    </row>
    <row r="159" spans="14:38" x14ac:dyDescent="0.3">
      <c r="N159" s="11">
        <v>27</v>
      </c>
      <c r="O159" s="11">
        <v>2</v>
      </c>
      <c r="P159">
        <f>SUMPRODUCT($A$2:$L$2,'Survey Encoding'!C160:N160)</f>
        <v>1.0311076931258887</v>
      </c>
      <c r="Q159">
        <f>SUMPRODUCT($A$2:$L$2,'Survey Encoding'!O160:Z160)</f>
        <v>1.3885885502977624</v>
      </c>
      <c r="R159">
        <f>SUMPRODUCT($A$2:$L$2,'Survey Encoding'!AA160:AL160)</f>
        <v>0.7637752520424238</v>
      </c>
      <c r="S159">
        <f>SUMPRODUCT($A$2:$L$2,'Survey Encoding'!AM160:AX160)</f>
        <v>-0.31352815855853916</v>
      </c>
      <c r="U159" s="11">
        <v>27</v>
      </c>
      <c r="V159" s="11">
        <v>2</v>
      </c>
      <c r="W159" s="1">
        <f t="shared" si="17"/>
        <v>2.8041702751355775</v>
      </c>
      <c r="X159" s="1">
        <f t="shared" si="18"/>
        <v>4.0091872913740838</v>
      </c>
      <c r="Y159" s="1">
        <f t="shared" si="19"/>
        <v>2.1463640092801262</v>
      </c>
      <c r="Z159" s="1">
        <f t="shared" si="20"/>
        <v>0.73086379864279061</v>
      </c>
      <c r="AB159" s="11">
        <v>27</v>
      </c>
      <c r="AC159" s="11">
        <v>2</v>
      </c>
      <c r="AD159">
        <f t="shared" si="21"/>
        <v>0.28937057636724789</v>
      </c>
      <c r="AE159">
        <f t="shared" si="22"/>
        <v>0.41371982563115672</v>
      </c>
      <c r="AF159">
        <f t="shared" si="24"/>
        <v>0.22148961351117596</v>
      </c>
      <c r="AG159">
        <f t="shared" si="24"/>
        <v>7.5419984490419451E-2</v>
      </c>
      <c r="AI159" s="11">
        <v>27</v>
      </c>
      <c r="AJ159" s="11">
        <v>2</v>
      </c>
      <c r="AK159">
        <f>SUMPRODUCT(AD159:AG159,'Coded Choice Data'!C159:F159)</f>
        <v>0.22148961351117596</v>
      </c>
      <c r="AL159">
        <f t="shared" si="23"/>
        <v>-1.5073795821937916</v>
      </c>
    </row>
    <row r="160" spans="14:38" x14ac:dyDescent="0.3">
      <c r="N160" s="11">
        <v>27</v>
      </c>
      <c r="O160" s="11">
        <v>3</v>
      </c>
      <c r="P160">
        <f>SUMPRODUCT($A$2:$L$2,'Survey Encoding'!C161:N161)</f>
        <v>0.15000228289066947</v>
      </c>
      <c r="Q160">
        <f>SUMPRODUCT($A$2:$L$2,'Survey Encoding'!O161:Z161)</f>
        <v>-0.5677340101284214</v>
      </c>
      <c r="R160">
        <f>SUMPRODUCT($A$2:$L$2,'Survey Encoding'!AA161:AL161)</f>
        <v>0.7637752520424238</v>
      </c>
      <c r="S160">
        <f>SUMPRODUCT($A$2:$L$2,'Survey Encoding'!AM161:AX161)</f>
        <v>-0.31352815855853916</v>
      </c>
      <c r="U160" s="11">
        <v>27</v>
      </c>
      <c r="V160" s="11">
        <v>3</v>
      </c>
      <c r="W160" s="1">
        <f t="shared" si="17"/>
        <v>1.1618368950718627</v>
      </c>
      <c r="X160" s="1">
        <f t="shared" si="18"/>
        <v>0.56680836661762923</v>
      </c>
      <c r="Y160" s="1">
        <f t="shared" si="19"/>
        <v>2.1463640092801262</v>
      </c>
      <c r="Z160" s="1">
        <f t="shared" si="20"/>
        <v>0.73086379864279061</v>
      </c>
      <c r="AB160" s="11">
        <v>27</v>
      </c>
      <c r="AC160" s="11">
        <v>3</v>
      </c>
      <c r="AD160">
        <f t="shared" si="21"/>
        <v>0.25225117529555219</v>
      </c>
      <c r="AE160">
        <f t="shared" si="22"/>
        <v>0.12306209008606635</v>
      </c>
      <c r="AF160">
        <f t="shared" si="24"/>
        <v>0.46600589656734631</v>
      </c>
      <c r="AG160">
        <f t="shared" si="24"/>
        <v>0.15868083805103511</v>
      </c>
      <c r="AI160" s="11">
        <v>27</v>
      </c>
      <c r="AJ160" s="11">
        <v>3</v>
      </c>
      <c r="AK160">
        <f>SUMPRODUCT(AD160:AG160,'Coded Choice Data'!C160:F160)</f>
        <v>0.46600589656734631</v>
      </c>
      <c r="AL160">
        <f t="shared" si="23"/>
        <v>-0.7635569913585506</v>
      </c>
    </row>
    <row r="161" spans="14:38" x14ac:dyDescent="0.3">
      <c r="N161" s="11">
        <v>27</v>
      </c>
      <c r="O161" s="11">
        <v>4</v>
      </c>
      <c r="P161">
        <f>SUMPRODUCT($A$2:$L$2,'Survey Encoding'!C162:N162)</f>
        <v>0.95180473721565084</v>
      </c>
      <c r="Q161">
        <f>SUMPRODUCT($A$2:$L$2,'Survey Encoding'!O162:Z162)</f>
        <v>1.0311076931258887</v>
      </c>
      <c r="R161">
        <f>SUMPRODUCT($A$2:$L$2,'Survey Encoding'!AA162:AL162)</f>
        <v>1.1267499129920266</v>
      </c>
      <c r="S161">
        <f>SUMPRODUCT($A$2:$L$2,'Survey Encoding'!AM162:AX162)</f>
        <v>-0.31352815855853916</v>
      </c>
      <c r="U161" s="11">
        <v>27</v>
      </c>
      <c r="V161" s="11">
        <v>4</v>
      </c>
      <c r="W161" s="1">
        <f t="shared" si="17"/>
        <v>2.5903803992282071</v>
      </c>
      <c r="X161" s="1">
        <f t="shared" si="18"/>
        <v>2.8041702751355775</v>
      </c>
      <c r="Y161" s="1">
        <f t="shared" si="19"/>
        <v>3.0856116792654009</v>
      </c>
      <c r="Z161" s="1">
        <f t="shared" si="20"/>
        <v>0.73086379864279061</v>
      </c>
      <c r="AB161" s="11">
        <v>27</v>
      </c>
      <c r="AC161" s="11">
        <v>4</v>
      </c>
      <c r="AD161">
        <f t="shared" si="21"/>
        <v>0.28122603892393339</v>
      </c>
      <c r="AE161">
        <f t="shared" si="22"/>
        <v>0.30443625159438997</v>
      </c>
      <c r="AF161">
        <f t="shared" si="24"/>
        <v>0.33499108875120381</v>
      </c>
      <c r="AG161">
        <f t="shared" si="24"/>
        <v>7.9346620730472786E-2</v>
      </c>
      <c r="AI161" s="11">
        <v>27</v>
      </c>
      <c r="AJ161" s="11">
        <v>4</v>
      </c>
      <c r="AK161">
        <f>SUMPRODUCT(AD161:AG161,'Coded Choice Data'!C161:F161)</f>
        <v>0.33499108875120381</v>
      </c>
      <c r="AL161">
        <f t="shared" si="23"/>
        <v>-1.0936513482535519</v>
      </c>
    </row>
    <row r="162" spans="14:38" x14ac:dyDescent="0.3">
      <c r="N162" s="11">
        <v>27</v>
      </c>
      <c r="O162" s="11">
        <v>5</v>
      </c>
      <c r="P162">
        <f>SUMPRODUCT($A$2:$L$2,'Survey Encoding'!C163:N163)</f>
        <v>1.3885885502977624</v>
      </c>
      <c r="Q162">
        <f>SUMPRODUCT($A$2:$L$2,'Survey Encoding'!O163:Z163)</f>
        <v>1.4106531441928372</v>
      </c>
      <c r="R162">
        <f>SUMPRODUCT($A$2:$L$2,'Survey Encoding'!AA163:AL163)</f>
        <v>1.1267499129920266</v>
      </c>
      <c r="S162">
        <f>SUMPRODUCT($A$2:$L$2,'Survey Encoding'!AM163:AX163)</f>
        <v>-0.31352815855853916</v>
      </c>
      <c r="U162" s="11">
        <v>27</v>
      </c>
      <c r="V162" s="11">
        <v>5</v>
      </c>
      <c r="W162" s="1">
        <f t="shared" si="17"/>
        <v>4.0091872913740838</v>
      </c>
      <c r="X162" s="1">
        <f t="shared" si="18"/>
        <v>4.0986315274095384</v>
      </c>
      <c r="Y162" s="1">
        <f t="shared" si="19"/>
        <v>3.0856116792654009</v>
      </c>
      <c r="Z162" s="1">
        <f t="shared" si="20"/>
        <v>0.73086379864279061</v>
      </c>
      <c r="AB162" s="11">
        <v>27</v>
      </c>
      <c r="AC162" s="11">
        <v>5</v>
      </c>
      <c r="AD162">
        <f t="shared" si="21"/>
        <v>0.33622008914073537</v>
      </c>
      <c r="AE162">
        <f t="shared" si="22"/>
        <v>0.34372109790569594</v>
      </c>
      <c r="AF162">
        <f t="shared" si="24"/>
        <v>0.25876681692781178</v>
      </c>
      <c r="AG162">
        <f t="shared" si="24"/>
        <v>6.1291996025756926E-2</v>
      </c>
      <c r="AI162" s="11">
        <v>27</v>
      </c>
      <c r="AJ162" s="11">
        <v>5</v>
      </c>
      <c r="AK162">
        <f>SUMPRODUCT(AD162:AG162,'Coded Choice Data'!C162:F162)</f>
        <v>0.25876681692781178</v>
      </c>
      <c r="AL162">
        <f t="shared" si="23"/>
        <v>-1.3518279435567824</v>
      </c>
    </row>
    <row r="163" spans="14:38" x14ac:dyDescent="0.3">
      <c r="N163" s="11">
        <v>27</v>
      </c>
      <c r="O163" s="11">
        <v>6</v>
      </c>
      <c r="P163">
        <f>SUMPRODUCT($A$2:$L$2,'Survey Encoding'!C164:N164)</f>
        <v>-1.1407000318204914</v>
      </c>
      <c r="Q163">
        <f>SUMPRODUCT($A$2:$L$2,'Survey Encoding'!O164:Z164)</f>
        <v>0.66877574618081503</v>
      </c>
      <c r="R163">
        <f>SUMPRODUCT($A$2:$L$2,'Survey Encoding'!AA164:AL164)</f>
        <v>0.15000228289066947</v>
      </c>
      <c r="S163">
        <f>SUMPRODUCT($A$2:$L$2,'Survey Encoding'!AM164:AX164)</f>
        <v>-0.31352815855853916</v>
      </c>
      <c r="U163" s="11">
        <v>27</v>
      </c>
      <c r="V163" s="11">
        <v>6</v>
      </c>
      <c r="W163" s="1">
        <f t="shared" si="17"/>
        <v>0.31959521666873603</v>
      </c>
      <c r="X163" s="1">
        <f t="shared" si="18"/>
        <v>1.9518463020380199</v>
      </c>
      <c r="Y163" s="1">
        <f t="shared" si="19"/>
        <v>1.1618368950718627</v>
      </c>
      <c r="Z163" s="1">
        <f t="shared" si="20"/>
        <v>0.73086379864279061</v>
      </c>
      <c r="AB163" s="11">
        <v>27</v>
      </c>
      <c r="AC163" s="11">
        <v>6</v>
      </c>
      <c r="AD163">
        <f t="shared" si="21"/>
        <v>7.6749352055124564E-2</v>
      </c>
      <c r="AE163">
        <f t="shared" si="22"/>
        <v>0.46872709971714432</v>
      </c>
      <c r="AF163">
        <f t="shared" si="24"/>
        <v>0.27900989827056494</v>
      </c>
      <c r="AG163">
        <f t="shared" si="24"/>
        <v>0.17551364995716615</v>
      </c>
      <c r="AI163" s="11">
        <v>27</v>
      </c>
      <c r="AJ163" s="11">
        <v>6</v>
      </c>
      <c r="AK163">
        <f>SUMPRODUCT(AD163:AG163,'Coded Choice Data'!C163:F163)</f>
        <v>0.46872709971714432</v>
      </c>
      <c r="AL163">
        <f t="shared" si="23"/>
        <v>-0.75773455682766766</v>
      </c>
    </row>
    <row r="164" spans="14:38" x14ac:dyDescent="0.3">
      <c r="N164" s="11">
        <v>28</v>
      </c>
      <c r="O164" s="11">
        <v>1</v>
      </c>
      <c r="P164">
        <f>SUMPRODUCT($A$2:$L$2,'Survey Encoding'!C165:N165)</f>
        <v>-0.5677340101284214</v>
      </c>
      <c r="Q164">
        <f>SUMPRODUCT($A$2:$L$2,'Survey Encoding'!O165:Z165)</f>
        <v>-0.45781983272127458</v>
      </c>
      <c r="R164">
        <f>SUMPRODUCT($A$2:$L$2,'Survey Encoding'!AA165:AL165)</f>
        <v>-1.1407000318204914</v>
      </c>
      <c r="S164">
        <f>SUMPRODUCT($A$2:$L$2,'Survey Encoding'!AM165:AX165)</f>
        <v>-0.31352815855853916</v>
      </c>
      <c r="U164" s="11">
        <v>28</v>
      </c>
      <c r="V164" s="11">
        <v>1</v>
      </c>
      <c r="W164" s="1">
        <f t="shared" si="17"/>
        <v>0.56680836661762923</v>
      </c>
      <c r="X164" s="1">
        <f t="shared" si="18"/>
        <v>0.63266145083175696</v>
      </c>
      <c r="Y164" s="1">
        <f t="shared" si="19"/>
        <v>0.31959521666873603</v>
      </c>
      <c r="Z164" s="1">
        <f t="shared" si="20"/>
        <v>0.73086379864279061</v>
      </c>
      <c r="AB164" s="11">
        <v>28</v>
      </c>
      <c r="AC164" s="11">
        <v>1</v>
      </c>
      <c r="AD164">
        <f t="shared" si="21"/>
        <v>0.25192279789671945</v>
      </c>
      <c r="AE164">
        <f t="shared" si="22"/>
        <v>0.28119176109913269</v>
      </c>
      <c r="AF164">
        <f t="shared" si="24"/>
        <v>0.14204681144361231</v>
      </c>
      <c r="AG164">
        <f t="shared" si="24"/>
        <v>0.32483862956053577</v>
      </c>
      <c r="AI164" s="11">
        <v>28</v>
      </c>
      <c r="AJ164" s="11">
        <v>1</v>
      </c>
      <c r="AK164">
        <f>SUMPRODUCT(AD164:AG164,'Coded Choice Data'!C164:F164)</f>
        <v>0.32483862956053577</v>
      </c>
      <c r="AL164">
        <f t="shared" si="23"/>
        <v>-1.1244267443905935</v>
      </c>
    </row>
    <row r="165" spans="14:38" x14ac:dyDescent="0.3">
      <c r="N165" s="11">
        <v>28</v>
      </c>
      <c r="O165" s="11">
        <v>2</v>
      </c>
      <c r="P165">
        <f>SUMPRODUCT($A$2:$L$2,'Survey Encoding'!C166:N166)</f>
        <v>1.0311076931258887</v>
      </c>
      <c r="Q165">
        <f>SUMPRODUCT($A$2:$L$2,'Survey Encoding'!O166:Z166)</f>
        <v>1.3885885502977624</v>
      </c>
      <c r="R165">
        <f>SUMPRODUCT($A$2:$L$2,'Survey Encoding'!AA166:AL166)</f>
        <v>0.7637752520424238</v>
      </c>
      <c r="S165">
        <f>SUMPRODUCT($A$2:$L$2,'Survey Encoding'!AM166:AX166)</f>
        <v>-0.31352815855853916</v>
      </c>
      <c r="U165" s="11">
        <v>28</v>
      </c>
      <c r="V165" s="11">
        <v>2</v>
      </c>
      <c r="W165" s="1">
        <f t="shared" si="17"/>
        <v>2.8041702751355775</v>
      </c>
      <c r="X165" s="1">
        <f t="shared" si="18"/>
        <v>4.0091872913740838</v>
      </c>
      <c r="Y165" s="1">
        <f t="shared" si="19"/>
        <v>2.1463640092801262</v>
      </c>
      <c r="Z165" s="1">
        <f t="shared" si="20"/>
        <v>0.73086379864279061</v>
      </c>
      <c r="AB165" s="11">
        <v>28</v>
      </c>
      <c r="AC165" s="11">
        <v>2</v>
      </c>
      <c r="AD165">
        <f t="shared" si="21"/>
        <v>0.28937057636724789</v>
      </c>
      <c r="AE165">
        <f t="shared" si="22"/>
        <v>0.41371982563115672</v>
      </c>
      <c r="AF165">
        <f t="shared" si="24"/>
        <v>0.22148961351117596</v>
      </c>
      <c r="AG165">
        <f t="shared" si="24"/>
        <v>7.5419984490419451E-2</v>
      </c>
      <c r="AI165" s="11">
        <v>28</v>
      </c>
      <c r="AJ165" s="11">
        <v>2</v>
      </c>
      <c r="AK165">
        <f>SUMPRODUCT(AD165:AG165,'Coded Choice Data'!C165:F165)</f>
        <v>0.28937057636724789</v>
      </c>
      <c r="AL165">
        <f t="shared" si="23"/>
        <v>-1.2400471411103269</v>
      </c>
    </row>
    <row r="166" spans="14:38" x14ac:dyDescent="0.3">
      <c r="N166" s="11">
        <v>28</v>
      </c>
      <c r="O166" s="11">
        <v>3</v>
      </c>
      <c r="P166">
        <f>SUMPRODUCT($A$2:$L$2,'Survey Encoding'!C167:N167)</f>
        <v>0.15000228289066947</v>
      </c>
      <c r="Q166">
        <f>SUMPRODUCT($A$2:$L$2,'Survey Encoding'!O167:Z167)</f>
        <v>-0.5677340101284214</v>
      </c>
      <c r="R166">
        <f>SUMPRODUCT($A$2:$L$2,'Survey Encoding'!AA167:AL167)</f>
        <v>0.7637752520424238</v>
      </c>
      <c r="S166">
        <f>SUMPRODUCT($A$2:$L$2,'Survey Encoding'!AM167:AX167)</f>
        <v>-0.31352815855853916</v>
      </c>
      <c r="U166" s="11">
        <v>28</v>
      </c>
      <c r="V166" s="11">
        <v>3</v>
      </c>
      <c r="W166" s="1">
        <f t="shared" si="17"/>
        <v>1.1618368950718627</v>
      </c>
      <c r="X166" s="1">
        <f t="shared" si="18"/>
        <v>0.56680836661762923</v>
      </c>
      <c r="Y166" s="1">
        <f t="shared" si="19"/>
        <v>2.1463640092801262</v>
      </c>
      <c r="Z166" s="1">
        <f t="shared" si="20"/>
        <v>0.73086379864279061</v>
      </c>
      <c r="AB166" s="11">
        <v>28</v>
      </c>
      <c r="AC166" s="11">
        <v>3</v>
      </c>
      <c r="AD166">
        <f t="shared" si="21"/>
        <v>0.25225117529555219</v>
      </c>
      <c r="AE166">
        <f t="shared" si="22"/>
        <v>0.12306209008606635</v>
      </c>
      <c r="AF166">
        <f t="shared" si="24"/>
        <v>0.46600589656734631</v>
      </c>
      <c r="AG166">
        <f t="shared" si="24"/>
        <v>0.15868083805103511</v>
      </c>
      <c r="AI166" s="11">
        <v>28</v>
      </c>
      <c r="AJ166" s="11">
        <v>3</v>
      </c>
      <c r="AK166">
        <f>SUMPRODUCT(AD166:AG166,'Coded Choice Data'!C166:F166)</f>
        <v>0.15868083805103511</v>
      </c>
      <c r="AL166">
        <f t="shared" si="23"/>
        <v>-1.8408604019595136</v>
      </c>
    </row>
    <row r="167" spans="14:38" x14ac:dyDescent="0.3">
      <c r="N167" s="11">
        <v>28</v>
      </c>
      <c r="O167" s="11">
        <v>4</v>
      </c>
      <c r="P167">
        <f>SUMPRODUCT($A$2:$L$2,'Survey Encoding'!C168:N168)</f>
        <v>0.95180473721565084</v>
      </c>
      <c r="Q167">
        <f>SUMPRODUCT($A$2:$L$2,'Survey Encoding'!O168:Z168)</f>
        <v>1.0311076931258887</v>
      </c>
      <c r="R167">
        <f>SUMPRODUCT($A$2:$L$2,'Survey Encoding'!AA168:AL168)</f>
        <v>1.1267499129920266</v>
      </c>
      <c r="S167">
        <f>SUMPRODUCT($A$2:$L$2,'Survey Encoding'!AM168:AX168)</f>
        <v>-0.31352815855853916</v>
      </c>
      <c r="U167" s="11">
        <v>28</v>
      </c>
      <c r="V167" s="11">
        <v>4</v>
      </c>
      <c r="W167" s="1">
        <f t="shared" si="17"/>
        <v>2.5903803992282071</v>
      </c>
      <c r="X167" s="1">
        <f t="shared" si="18"/>
        <v>2.8041702751355775</v>
      </c>
      <c r="Y167" s="1">
        <f t="shared" si="19"/>
        <v>3.0856116792654009</v>
      </c>
      <c r="Z167" s="1">
        <f t="shared" si="20"/>
        <v>0.73086379864279061</v>
      </c>
      <c r="AB167" s="11">
        <v>28</v>
      </c>
      <c r="AC167" s="11">
        <v>4</v>
      </c>
      <c r="AD167">
        <f t="shared" si="21"/>
        <v>0.28122603892393339</v>
      </c>
      <c r="AE167">
        <f t="shared" si="22"/>
        <v>0.30443625159438997</v>
      </c>
      <c r="AF167">
        <f t="shared" si="24"/>
        <v>0.33499108875120381</v>
      </c>
      <c r="AG167">
        <f t="shared" si="24"/>
        <v>7.9346620730472786E-2</v>
      </c>
      <c r="AI167" s="11">
        <v>28</v>
      </c>
      <c r="AJ167" s="11">
        <v>4</v>
      </c>
      <c r="AK167">
        <f>SUMPRODUCT(AD167:AG167,'Coded Choice Data'!C167:F167)</f>
        <v>0.30443625159438997</v>
      </c>
      <c r="AL167">
        <f t="shared" si="23"/>
        <v>-1.1892935681196899</v>
      </c>
    </row>
    <row r="168" spans="14:38" x14ac:dyDescent="0.3">
      <c r="N168" s="11">
        <v>28</v>
      </c>
      <c r="O168" s="11">
        <v>5</v>
      </c>
      <c r="P168">
        <f>SUMPRODUCT($A$2:$L$2,'Survey Encoding'!C169:N169)</f>
        <v>1.3885885502977624</v>
      </c>
      <c r="Q168">
        <f>SUMPRODUCT($A$2:$L$2,'Survey Encoding'!O169:Z169)</f>
        <v>1.4106531441928372</v>
      </c>
      <c r="R168">
        <f>SUMPRODUCT($A$2:$L$2,'Survey Encoding'!AA169:AL169)</f>
        <v>1.1267499129920266</v>
      </c>
      <c r="S168">
        <f>SUMPRODUCT($A$2:$L$2,'Survey Encoding'!AM169:AX169)</f>
        <v>-0.31352815855853916</v>
      </c>
      <c r="U168" s="11">
        <v>28</v>
      </c>
      <c r="V168" s="11">
        <v>5</v>
      </c>
      <c r="W168" s="1">
        <f t="shared" si="17"/>
        <v>4.0091872913740838</v>
      </c>
      <c r="X168" s="1">
        <f t="shared" si="18"/>
        <v>4.0986315274095384</v>
      </c>
      <c r="Y168" s="1">
        <f t="shared" si="19"/>
        <v>3.0856116792654009</v>
      </c>
      <c r="Z168" s="1">
        <f t="shared" si="20"/>
        <v>0.73086379864279061</v>
      </c>
      <c r="AB168" s="11">
        <v>28</v>
      </c>
      <c r="AC168" s="11">
        <v>5</v>
      </c>
      <c r="AD168">
        <f t="shared" si="21"/>
        <v>0.33622008914073537</v>
      </c>
      <c r="AE168">
        <f t="shared" si="22"/>
        <v>0.34372109790569594</v>
      </c>
      <c r="AF168">
        <f t="shared" si="24"/>
        <v>0.25876681692781178</v>
      </c>
      <c r="AG168">
        <f t="shared" si="24"/>
        <v>6.1291996025756926E-2</v>
      </c>
      <c r="AI168" s="11">
        <v>28</v>
      </c>
      <c r="AJ168" s="11">
        <v>5</v>
      </c>
      <c r="AK168">
        <f>SUMPRODUCT(AD168:AG168,'Coded Choice Data'!C168:F168)</f>
        <v>0.34372109790569594</v>
      </c>
      <c r="AL168">
        <f t="shared" si="23"/>
        <v>-1.0679247123559716</v>
      </c>
    </row>
    <row r="169" spans="14:38" x14ac:dyDescent="0.3">
      <c r="N169" s="11">
        <v>28</v>
      </c>
      <c r="O169" s="11">
        <v>6</v>
      </c>
      <c r="P169">
        <f>SUMPRODUCT($A$2:$L$2,'Survey Encoding'!C170:N170)</f>
        <v>-1.1407000318204914</v>
      </c>
      <c r="Q169">
        <f>SUMPRODUCT($A$2:$L$2,'Survey Encoding'!O170:Z170)</f>
        <v>0.66877574618081503</v>
      </c>
      <c r="R169">
        <f>SUMPRODUCT($A$2:$L$2,'Survey Encoding'!AA170:AL170)</f>
        <v>0.15000228289066947</v>
      </c>
      <c r="S169">
        <f>SUMPRODUCT($A$2:$L$2,'Survey Encoding'!AM170:AX170)</f>
        <v>-0.31352815855853916</v>
      </c>
      <c r="U169" s="11">
        <v>28</v>
      </c>
      <c r="V169" s="11">
        <v>6</v>
      </c>
      <c r="W169" s="1">
        <f t="shared" si="17"/>
        <v>0.31959521666873603</v>
      </c>
      <c r="X169" s="1">
        <f t="shared" si="18"/>
        <v>1.9518463020380199</v>
      </c>
      <c r="Y169" s="1">
        <f t="shared" si="19"/>
        <v>1.1618368950718627</v>
      </c>
      <c r="Z169" s="1">
        <f t="shared" si="20"/>
        <v>0.73086379864279061</v>
      </c>
      <c r="AB169" s="11">
        <v>28</v>
      </c>
      <c r="AC169" s="11">
        <v>6</v>
      </c>
      <c r="AD169">
        <f t="shared" si="21"/>
        <v>7.6749352055124564E-2</v>
      </c>
      <c r="AE169">
        <f t="shared" si="22"/>
        <v>0.46872709971714432</v>
      </c>
      <c r="AF169">
        <f t="shared" si="24"/>
        <v>0.27900989827056494</v>
      </c>
      <c r="AG169">
        <f t="shared" si="24"/>
        <v>0.17551364995716615</v>
      </c>
      <c r="AI169" s="11">
        <v>28</v>
      </c>
      <c r="AJ169" s="11">
        <v>6</v>
      </c>
      <c r="AK169">
        <f>SUMPRODUCT(AD169:AG169,'Coded Choice Data'!C169:F169)</f>
        <v>0.46872709971714432</v>
      </c>
      <c r="AL169">
        <f t="shared" si="23"/>
        <v>-0.75773455682766766</v>
      </c>
    </row>
    <row r="170" spans="14:38" x14ac:dyDescent="0.3">
      <c r="N170" s="11">
        <v>29</v>
      </c>
      <c r="O170" s="11">
        <v>1</v>
      </c>
      <c r="P170">
        <f>SUMPRODUCT($A$2:$L$2,'Survey Encoding'!C171:N171)</f>
        <v>-0.5677340101284214</v>
      </c>
      <c r="Q170">
        <f>SUMPRODUCT($A$2:$L$2,'Survey Encoding'!O171:Z171)</f>
        <v>-0.45781983272127458</v>
      </c>
      <c r="R170">
        <f>SUMPRODUCT($A$2:$L$2,'Survey Encoding'!AA171:AL171)</f>
        <v>-1.1407000318204914</v>
      </c>
      <c r="S170">
        <f>SUMPRODUCT($A$2:$L$2,'Survey Encoding'!AM171:AX171)</f>
        <v>-0.31352815855853916</v>
      </c>
      <c r="U170" s="11">
        <v>29</v>
      </c>
      <c r="V170" s="11">
        <v>1</v>
      </c>
      <c r="W170" s="1">
        <f t="shared" si="17"/>
        <v>0.56680836661762923</v>
      </c>
      <c r="X170" s="1">
        <f t="shared" si="18"/>
        <v>0.63266145083175696</v>
      </c>
      <c r="Y170" s="1">
        <f t="shared" si="19"/>
        <v>0.31959521666873603</v>
      </c>
      <c r="Z170" s="1">
        <f t="shared" si="20"/>
        <v>0.73086379864279061</v>
      </c>
      <c r="AB170" s="11">
        <v>29</v>
      </c>
      <c r="AC170" s="11">
        <v>1</v>
      </c>
      <c r="AD170">
        <f t="shared" si="21"/>
        <v>0.25192279789671945</v>
      </c>
      <c r="AE170">
        <f t="shared" si="22"/>
        <v>0.28119176109913269</v>
      </c>
      <c r="AF170">
        <f t="shared" si="24"/>
        <v>0.14204681144361231</v>
      </c>
      <c r="AG170">
        <f t="shared" si="24"/>
        <v>0.32483862956053577</v>
      </c>
      <c r="AI170" s="11">
        <v>29</v>
      </c>
      <c r="AJ170" s="11">
        <v>1</v>
      </c>
      <c r="AK170">
        <f>SUMPRODUCT(AD170:AG170,'Coded Choice Data'!C170:F170)</f>
        <v>0.32483862956053577</v>
      </c>
      <c r="AL170">
        <f t="shared" si="23"/>
        <v>-1.1244267443905935</v>
      </c>
    </row>
    <row r="171" spans="14:38" x14ac:dyDescent="0.3">
      <c r="N171" s="11">
        <v>29</v>
      </c>
      <c r="O171" s="11">
        <v>2</v>
      </c>
      <c r="P171">
        <f>SUMPRODUCT($A$2:$L$2,'Survey Encoding'!C172:N172)</f>
        <v>1.0311076931258887</v>
      </c>
      <c r="Q171">
        <f>SUMPRODUCT($A$2:$L$2,'Survey Encoding'!O172:Z172)</f>
        <v>1.3885885502977624</v>
      </c>
      <c r="R171">
        <f>SUMPRODUCT($A$2:$L$2,'Survey Encoding'!AA172:AL172)</f>
        <v>0.7637752520424238</v>
      </c>
      <c r="S171">
        <f>SUMPRODUCT($A$2:$L$2,'Survey Encoding'!AM172:AX172)</f>
        <v>-0.31352815855853916</v>
      </c>
      <c r="U171" s="11">
        <v>29</v>
      </c>
      <c r="V171" s="11">
        <v>2</v>
      </c>
      <c r="W171" s="1">
        <f t="shared" si="17"/>
        <v>2.8041702751355775</v>
      </c>
      <c r="X171" s="1">
        <f t="shared" si="18"/>
        <v>4.0091872913740838</v>
      </c>
      <c r="Y171" s="1">
        <f t="shared" si="19"/>
        <v>2.1463640092801262</v>
      </c>
      <c r="Z171" s="1">
        <f t="shared" si="20"/>
        <v>0.73086379864279061</v>
      </c>
      <c r="AB171" s="11">
        <v>29</v>
      </c>
      <c r="AC171" s="11">
        <v>2</v>
      </c>
      <c r="AD171">
        <f t="shared" si="21"/>
        <v>0.28937057636724789</v>
      </c>
      <c r="AE171">
        <f t="shared" si="22"/>
        <v>0.41371982563115672</v>
      </c>
      <c r="AF171">
        <f t="shared" si="24"/>
        <v>0.22148961351117596</v>
      </c>
      <c r="AG171">
        <f t="shared" si="24"/>
        <v>7.5419984490419451E-2</v>
      </c>
      <c r="AI171" s="11">
        <v>29</v>
      </c>
      <c r="AJ171" s="11">
        <v>2</v>
      </c>
      <c r="AK171">
        <f>SUMPRODUCT(AD171:AG171,'Coded Choice Data'!C171:F171)</f>
        <v>0.22148961351117596</v>
      </c>
      <c r="AL171">
        <f t="shared" si="23"/>
        <v>-1.5073795821937916</v>
      </c>
    </row>
    <row r="172" spans="14:38" x14ac:dyDescent="0.3">
      <c r="N172" s="11">
        <v>29</v>
      </c>
      <c r="O172" s="11">
        <v>3</v>
      </c>
      <c r="P172">
        <f>SUMPRODUCT($A$2:$L$2,'Survey Encoding'!C173:N173)</f>
        <v>0.15000228289066947</v>
      </c>
      <c r="Q172">
        <f>SUMPRODUCT($A$2:$L$2,'Survey Encoding'!O173:Z173)</f>
        <v>-0.5677340101284214</v>
      </c>
      <c r="R172">
        <f>SUMPRODUCT($A$2:$L$2,'Survey Encoding'!AA173:AL173)</f>
        <v>0.7637752520424238</v>
      </c>
      <c r="S172">
        <f>SUMPRODUCT($A$2:$L$2,'Survey Encoding'!AM173:AX173)</f>
        <v>-0.31352815855853916</v>
      </c>
      <c r="U172" s="11">
        <v>29</v>
      </c>
      <c r="V172" s="11">
        <v>3</v>
      </c>
      <c r="W172" s="1">
        <f t="shared" si="17"/>
        <v>1.1618368950718627</v>
      </c>
      <c r="X172" s="1">
        <f t="shared" si="18"/>
        <v>0.56680836661762923</v>
      </c>
      <c r="Y172" s="1">
        <f t="shared" si="19"/>
        <v>2.1463640092801262</v>
      </c>
      <c r="Z172" s="1">
        <f t="shared" si="20"/>
        <v>0.73086379864279061</v>
      </c>
      <c r="AB172" s="11">
        <v>29</v>
      </c>
      <c r="AC172" s="11">
        <v>3</v>
      </c>
      <c r="AD172">
        <f t="shared" si="21"/>
        <v>0.25225117529555219</v>
      </c>
      <c r="AE172">
        <f t="shared" si="22"/>
        <v>0.12306209008606635</v>
      </c>
      <c r="AF172">
        <f t="shared" si="24"/>
        <v>0.46600589656734631</v>
      </c>
      <c r="AG172">
        <f t="shared" si="24"/>
        <v>0.15868083805103511</v>
      </c>
      <c r="AI172" s="11">
        <v>29</v>
      </c>
      <c r="AJ172" s="11">
        <v>3</v>
      </c>
      <c r="AK172">
        <f>SUMPRODUCT(AD172:AG172,'Coded Choice Data'!C172:F172)</f>
        <v>0.46600589656734631</v>
      </c>
      <c r="AL172">
        <f t="shared" si="23"/>
        <v>-0.7635569913585506</v>
      </c>
    </row>
    <row r="173" spans="14:38" x14ac:dyDescent="0.3">
      <c r="N173" s="11">
        <v>29</v>
      </c>
      <c r="O173" s="11">
        <v>4</v>
      </c>
      <c r="P173">
        <f>SUMPRODUCT($A$2:$L$2,'Survey Encoding'!C174:N174)</f>
        <v>0.95180473721565084</v>
      </c>
      <c r="Q173">
        <f>SUMPRODUCT($A$2:$L$2,'Survey Encoding'!O174:Z174)</f>
        <v>1.0311076931258887</v>
      </c>
      <c r="R173">
        <f>SUMPRODUCT($A$2:$L$2,'Survey Encoding'!AA174:AL174)</f>
        <v>1.1267499129920266</v>
      </c>
      <c r="S173">
        <f>SUMPRODUCT($A$2:$L$2,'Survey Encoding'!AM174:AX174)</f>
        <v>-0.31352815855853916</v>
      </c>
      <c r="U173" s="11">
        <v>29</v>
      </c>
      <c r="V173" s="11">
        <v>4</v>
      </c>
      <c r="W173" s="1">
        <f t="shared" si="17"/>
        <v>2.5903803992282071</v>
      </c>
      <c r="X173" s="1">
        <f t="shared" si="18"/>
        <v>2.8041702751355775</v>
      </c>
      <c r="Y173" s="1">
        <f t="shared" si="19"/>
        <v>3.0856116792654009</v>
      </c>
      <c r="Z173" s="1">
        <f t="shared" si="20"/>
        <v>0.73086379864279061</v>
      </c>
      <c r="AB173" s="11">
        <v>29</v>
      </c>
      <c r="AC173" s="11">
        <v>4</v>
      </c>
      <c r="AD173">
        <f t="shared" si="21"/>
        <v>0.28122603892393339</v>
      </c>
      <c r="AE173">
        <f t="shared" si="22"/>
        <v>0.30443625159438997</v>
      </c>
      <c r="AF173">
        <f t="shared" si="24"/>
        <v>0.33499108875120381</v>
      </c>
      <c r="AG173">
        <f t="shared" si="24"/>
        <v>7.9346620730472786E-2</v>
      </c>
      <c r="AI173" s="11">
        <v>29</v>
      </c>
      <c r="AJ173" s="11">
        <v>4</v>
      </c>
      <c r="AK173">
        <f>SUMPRODUCT(AD173:AG173,'Coded Choice Data'!C173:F173)</f>
        <v>0.33499108875120381</v>
      </c>
      <c r="AL173">
        <f t="shared" si="23"/>
        <v>-1.0936513482535519</v>
      </c>
    </row>
    <row r="174" spans="14:38" x14ac:dyDescent="0.3">
      <c r="N174" s="11">
        <v>29</v>
      </c>
      <c r="O174" s="11">
        <v>5</v>
      </c>
      <c r="P174">
        <f>SUMPRODUCT($A$2:$L$2,'Survey Encoding'!C175:N175)</f>
        <v>1.3885885502977624</v>
      </c>
      <c r="Q174">
        <f>SUMPRODUCT($A$2:$L$2,'Survey Encoding'!O175:Z175)</f>
        <v>1.4106531441928372</v>
      </c>
      <c r="R174">
        <f>SUMPRODUCT($A$2:$L$2,'Survey Encoding'!AA175:AL175)</f>
        <v>1.1267499129920266</v>
      </c>
      <c r="S174">
        <f>SUMPRODUCT($A$2:$L$2,'Survey Encoding'!AM175:AX175)</f>
        <v>-0.31352815855853916</v>
      </c>
      <c r="U174" s="11">
        <v>29</v>
      </c>
      <c r="V174" s="11">
        <v>5</v>
      </c>
      <c r="W174" s="1">
        <f t="shared" si="17"/>
        <v>4.0091872913740838</v>
      </c>
      <c r="X174" s="1">
        <f t="shared" si="18"/>
        <v>4.0986315274095384</v>
      </c>
      <c r="Y174" s="1">
        <f t="shared" si="19"/>
        <v>3.0856116792654009</v>
      </c>
      <c r="Z174" s="1">
        <f t="shared" si="20"/>
        <v>0.73086379864279061</v>
      </c>
      <c r="AB174" s="11">
        <v>29</v>
      </c>
      <c r="AC174" s="11">
        <v>5</v>
      </c>
      <c r="AD174">
        <f t="shared" si="21"/>
        <v>0.33622008914073537</v>
      </c>
      <c r="AE174">
        <f t="shared" si="22"/>
        <v>0.34372109790569594</v>
      </c>
      <c r="AF174">
        <f t="shared" si="24"/>
        <v>0.25876681692781178</v>
      </c>
      <c r="AG174">
        <f t="shared" si="24"/>
        <v>6.1291996025756926E-2</v>
      </c>
      <c r="AI174" s="11">
        <v>29</v>
      </c>
      <c r="AJ174" s="11">
        <v>5</v>
      </c>
      <c r="AK174">
        <f>SUMPRODUCT(AD174:AG174,'Coded Choice Data'!C174:F174)</f>
        <v>0.34372109790569594</v>
      </c>
      <c r="AL174">
        <f t="shared" si="23"/>
        <v>-1.0679247123559716</v>
      </c>
    </row>
    <row r="175" spans="14:38" x14ac:dyDescent="0.3">
      <c r="N175" s="11">
        <v>29</v>
      </c>
      <c r="O175" s="11">
        <v>6</v>
      </c>
      <c r="P175">
        <f>SUMPRODUCT($A$2:$L$2,'Survey Encoding'!C176:N176)</f>
        <v>-1.1407000318204914</v>
      </c>
      <c r="Q175">
        <f>SUMPRODUCT($A$2:$L$2,'Survey Encoding'!O176:Z176)</f>
        <v>0.66877574618081503</v>
      </c>
      <c r="R175">
        <f>SUMPRODUCT($A$2:$L$2,'Survey Encoding'!AA176:AL176)</f>
        <v>0.15000228289066947</v>
      </c>
      <c r="S175">
        <f>SUMPRODUCT($A$2:$L$2,'Survey Encoding'!AM176:AX176)</f>
        <v>-0.31352815855853916</v>
      </c>
      <c r="U175" s="11">
        <v>29</v>
      </c>
      <c r="V175" s="11">
        <v>6</v>
      </c>
      <c r="W175" s="1">
        <f t="shared" si="17"/>
        <v>0.31959521666873603</v>
      </c>
      <c r="X175" s="1">
        <f t="shared" si="18"/>
        <v>1.9518463020380199</v>
      </c>
      <c r="Y175" s="1">
        <f t="shared" si="19"/>
        <v>1.1618368950718627</v>
      </c>
      <c r="Z175" s="1">
        <f t="shared" si="20"/>
        <v>0.73086379864279061</v>
      </c>
      <c r="AB175" s="11">
        <v>29</v>
      </c>
      <c r="AC175" s="11">
        <v>6</v>
      </c>
      <c r="AD175">
        <f t="shared" si="21"/>
        <v>7.6749352055124564E-2</v>
      </c>
      <c r="AE175">
        <f t="shared" si="22"/>
        <v>0.46872709971714432</v>
      </c>
      <c r="AF175">
        <f t="shared" si="24"/>
        <v>0.27900989827056494</v>
      </c>
      <c r="AG175">
        <f t="shared" si="24"/>
        <v>0.17551364995716615</v>
      </c>
      <c r="AI175" s="11">
        <v>29</v>
      </c>
      <c r="AJ175" s="11">
        <v>6</v>
      </c>
      <c r="AK175">
        <f>SUMPRODUCT(AD175:AG175,'Coded Choice Data'!C175:F175)</f>
        <v>0.46872709971714432</v>
      </c>
      <c r="AL175">
        <f t="shared" si="23"/>
        <v>-0.75773455682766766</v>
      </c>
    </row>
    <row r="176" spans="14:38" x14ac:dyDescent="0.3">
      <c r="N176" s="11">
        <v>30</v>
      </c>
      <c r="O176" s="11">
        <v>1</v>
      </c>
      <c r="P176">
        <f>SUMPRODUCT($A$2:$L$2,'Survey Encoding'!C177:N177)</f>
        <v>-0.5677340101284214</v>
      </c>
      <c r="Q176">
        <f>SUMPRODUCT($A$2:$L$2,'Survey Encoding'!O177:Z177)</f>
        <v>-0.45781983272127458</v>
      </c>
      <c r="R176">
        <f>SUMPRODUCT($A$2:$L$2,'Survey Encoding'!AA177:AL177)</f>
        <v>-1.1407000318204914</v>
      </c>
      <c r="S176">
        <f>SUMPRODUCT($A$2:$L$2,'Survey Encoding'!AM177:AX177)</f>
        <v>-0.31352815855853916</v>
      </c>
      <c r="U176" s="11">
        <v>30</v>
      </c>
      <c r="V176" s="11">
        <v>1</v>
      </c>
      <c r="W176" s="1">
        <f t="shared" si="17"/>
        <v>0.56680836661762923</v>
      </c>
      <c r="X176" s="1">
        <f t="shared" si="18"/>
        <v>0.63266145083175696</v>
      </c>
      <c r="Y176" s="1">
        <f t="shared" si="19"/>
        <v>0.31959521666873603</v>
      </c>
      <c r="Z176" s="1">
        <f t="shared" si="20"/>
        <v>0.73086379864279061</v>
      </c>
      <c r="AB176" s="11">
        <v>30</v>
      </c>
      <c r="AC176" s="11">
        <v>1</v>
      </c>
      <c r="AD176">
        <f t="shared" si="21"/>
        <v>0.25192279789671945</v>
      </c>
      <c r="AE176">
        <f t="shared" si="22"/>
        <v>0.28119176109913269</v>
      </c>
      <c r="AF176">
        <f t="shared" si="24"/>
        <v>0.14204681144361231</v>
      </c>
      <c r="AG176">
        <f t="shared" si="24"/>
        <v>0.32483862956053577</v>
      </c>
      <c r="AI176" s="11">
        <v>30</v>
      </c>
      <c r="AJ176" s="11">
        <v>1</v>
      </c>
      <c r="AK176">
        <f>SUMPRODUCT(AD176:AG176,'Coded Choice Data'!C176:F176)</f>
        <v>0.32483862956053577</v>
      </c>
      <c r="AL176">
        <f t="shared" si="23"/>
        <v>-1.1244267443905935</v>
      </c>
    </row>
    <row r="177" spans="14:38" x14ac:dyDescent="0.3">
      <c r="N177" s="11">
        <v>30</v>
      </c>
      <c r="O177" s="11">
        <v>2</v>
      </c>
      <c r="P177">
        <f>SUMPRODUCT($A$2:$L$2,'Survey Encoding'!C178:N178)</f>
        <v>1.0311076931258887</v>
      </c>
      <c r="Q177">
        <f>SUMPRODUCT($A$2:$L$2,'Survey Encoding'!O178:Z178)</f>
        <v>1.3885885502977624</v>
      </c>
      <c r="R177">
        <f>SUMPRODUCT($A$2:$L$2,'Survey Encoding'!AA178:AL178)</f>
        <v>0.7637752520424238</v>
      </c>
      <c r="S177">
        <f>SUMPRODUCT($A$2:$L$2,'Survey Encoding'!AM178:AX178)</f>
        <v>-0.31352815855853916</v>
      </c>
      <c r="U177" s="11">
        <v>30</v>
      </c>
      <c r="V177" s="11">
        <v>2</v>
      </c>
      <c r="W177" s="1">
        <f t="shared" si="17"/>
        <v>2.8041702751355775</v>
      </c>
      <c r="X177" s="1">
        <f t="shared" si="18"/>
        <v>4.0091872913740838</v>
      </c>
      <c r="Y177" s="1">
        <f t="shared" si="19"/>
        <v>2.1463640092801262</v>
      </c>
      <c r="Z177" s="1">
        <f t="shared" si="20"/>
        <v>0.73086379864279061</v>
      </c>
      <c r="AB177" s="11">
        <v>30</v>
      </c>
      <c r="AC177" s="11">
        <v>2</v>
      </c>
      <c r="AD177">
        <f t="shared" si="21"/>
        <v>0.28937057636724789</v>
      </c>
      <c r="AE177">
        <f t="shared" si="22"/>
        <v>0.41371982563115672</v>
      </c>
      <c r="AF177">
        <f t="shared" si="24"/>
        <v>0.22148961351117596</v>
      </c>
      <c r="AG177">
        <f t="shared" si="24"/>
        <v>7.5419984490419451E-2</v>
      </c>
      <c r="AI177" s="11">
        <v>30</v>
      </c>
      <c r="AJ177" s="11">
        <v>2</v>
      </c>
      <c r="AK177">
        <f>SUMPRODUCT(AD177:AG177,'Coded Choice Data'!C177:F177)</f>
        <v>0.41371982563115672</v>
      </c>
      <c r="AL177">
        <f t="shared" si="23"/>
        <v>-0.88256628393845316</v>
      </c>
    </row>
    <row r="178" spans="14:38" x14ac:dyDescent="0.3">
      <c r="N178" s="11">
        <v>30</v>
      </c>
      <c r="O178" s="11">
        <v>3</v>
      </c>
      <c r="P178">
        <f>SUMPRODUCT($A$2:$L$2,'Survey Encoding'!C179:N179)</f>
        <v>0.15000228289066947</v>
      </c>
      <c r="Q178">
        <f>SUMPRODUCT($A$2:$L$2,'Survey Encoding'!O179:Z179)</f>
        <v>-0.5677340101284214</v>
      </c>
      <c r="R178">
        <f>SUMPRODUCT($A$2:$L$2,'Survey Encoding'!AA179:AL179)</f>
        <v>0.7637752520424238</v>
      </c>
      <c r="S178">
        <f>SUMPRODUCT($A$2:$L$2,'Survey Encoding'!AM179:AX179)</f>
        <v>-0.31352815855853916</v>
      </c>
      <c r="U178" s="11">
        <v>30</v>
      </c>
      <c r="V178" s="11">
        <v>3</v>
      </c>
      <c r="W178" s="1">
        <f t="shared" si="17"/>
        <v>1.1618368950718627</v>
      </c>
      <c r="X178" s="1">
        <f t="shared" si="18"/>
        <v>0.56680836661762923</v>
      </c>
      <c r="Y178" s="1">
        <f t="shared" si="19"/>
        <v>2.1463640092801262</v>
      </c>
      <c r="Z178" s="1">
        <f t="shared" si="20"/>
        <v>0.73086379864279061</v>
      </c>
      <c r="AB178" s="11">
        <v>30</v>
      </c>
      <c r="AC178" s="11">
        <v>3</v>
      </c>
      <c r="AD178">
        <f t="shared" si="21"/>
        <v>0.25225117529555219</v>
      </c>
      <c r="AE178">
        <f t="shared" si="22"/>
        <v>0.12306209008606635</v>
      </c>
      <c r="AF178">
        <f t="shared" si="24"/>
        <v>0.46600589656734631</v>
      </c>
      <c r="AG178">
        <f t="shared" si="24"/>
        <v>0.15868083805103511</v>
      </c>
      <c r="AI178" s="11">
        <v>30</v>
      </c>
      <c r="AJ178" s="11">
        <v>3</v>
      </c>
      <c r="AK178">
        <f>SUMPRODUCT(AD178:AG178,'Coded Choice Data'!C178:F178)</f>
        <v>0.25225117529555219</v>
      </c>
      <c r="AL178">
        <f t="shared" si="23"/>
        <v>-1.3773299605103049</v>
      </c>
    </row>
    <row r="179" spans="14:38" x14ac:dyDescent="0.3">
      <c r="N179" s="11">
        <v>30</v>
      </c>
      <c r="O179" s="11">
        <v>4</v>
      </c>
      <c r="P179">
        <f>SUMPRODUCT($A$2:$L$2,'Survey Encoding'!C180:N180)</f>
        <v>0.95180473721565084</v>
      </c>
      <c r="Q179">
        <f>SUMPRODUCT($A$2:$L$2,'Survey Encoding'!O180:Z180)</f>
        <v>1.0311076931258887</v>
      </c>
      <c r="R179">
        <f>SUMPRODUCT($A$2:$L$2,'Survey Encoding'!AA180:AL180)</f>
        <v>1.1267499129920266</v>
      </c>
      <c r="S179">
        <f>SUMPRODUCT($A$2:$L$2,'Survey Encoding'!AM180:AX180)</f>
        <v>-0.31352815855853916</v>
      </c>
      <c r="U179" s="11">
        <v>30</v>
      </c>
      <c r="V179" s="11">
        <v>4</v>
      </c>
      <c r="W179" s="1">
        <f t="shared" si="17"/>
        <v>2.5903803992282071</v>
      </c>
      <c r="X179" s="1">
        <f t="shared" si="18"/>
        <v>2.8041702751355775</v>
      </c>
      <c r="Y179" s="1">
        <f t="shared" si="19"/>
        <v>3.0856116792654009</v>
      </c>
      <c r="Z179" s="1">
        <f t="shared" si="20"/>
        <v>0.73086379864279061</v>
      </c>
      <c r="AB179" s="11">
        <v>30</v>
      </c>
      <c r="AC179" s="11">
        <v>4</v>
      </c>
      <c r="AD179">
        <f t="shared" si="21"/>
        <v>0.28122603892393339</v>
      </c>
      <c r="AE179">
        <f t="shared" si="22"/>
        <v>0.30443625159438997</v>
      </c>
      <c r="AF179">
        <f t="shared" si="24"/>
        <v>0.33499108875120381</v>
      </c>
      <c r="AG179">
        <f t="shared" si="24"/>
        <v>7.9346620730472786E-2</v>
      </c>
      <c r="AI179" s="11">
        <v>30</v>
      </c>
      <c r="AJ179" s="11">
        <v>4</v>
      </c>
      <c r="AK179">
        <f>SUMPRODUCT(AD179:AG179,'Coded Choice Data'!C179:F179)</f>
        <v>0.28122603892393339</v>
      </c>
      <c r="AL179">
        <f t="shared" si="23"/>
        <v>-1.2685965240299277</v>
      </c>
    </row>
    <row r="180" spans="14:38" x14ac:dyDescent="0.3">
      <c r="N180" s="11">
        <v>30</v>
      </c>
      <c r="O180" s="11">
        <v>5</v>
      </c>
      <c r="P180">
        <f>SUMPRODUCT($A$2:$L$2,'Survey Encoding'!C181:N181)</f>
        <v>1.3885885502977624</v>
      </c>
      <c r="Q180">
        <f>SUMPRODUCT($A$2:$L$2,'Survey Encoding'!O181:Z181)</f>
        <v>1.4106531441928372</v>
      </c>
      <c r="R180">
        <f>SUMPRODUCT($A$2:$L$2,'Survey Encoding'!AA181:AL181)</f>
        <v>1.1267499129920266</v>
      </c>
      <c r="S180">
        <f>SUMPRODUCT($A$2:$L$2,'Survey Encoding'!AM181:AX181)</f>
        <v>-0.31352815855853916</v>
      </c>
      <c r="U180" s="11">
        <v>30</v>
      </c>
      <c r="V180" s="11">
        <v>5</v>
      </c>
      <c r="W180" s="1">
        <f t="shared" si="17"/>
        <v>4.0091872913740838</v>
      </c>
      <c r="X180" s="1">
        <f t="shared" si="18"/>
        <v>4.0986315274095384</v>
      </c>
      <c r="Y180" s="1">
        <f t="shared" si="19"/>
        <v>3.0856116792654009</v>
      </c>
      <c r="Z180" s="1">
        <f t="shared" si="20"/>
        <v>0.73086379864279061</v>
      </c>
      <c r="AB180" s="11">
        <v>30</v>
      </c>
      <c r="AC180" s="11">
        <v>5</v>
      </c>
      <c r="AD180">
        <f t="shared" si="21"/>
        <v>0.33622008914073537</v>
      </c>
      <c r="AE180">
        <f t="shared" si="22"/>
        <v>0.34372109790569594</v>
      </c>
      <c r="AF180">
        <f t="shared" si="24"/>
        <v>0.25876681692781178</v>
      </c>
      <c r="AG180">
        <f t="shared" si="24"/>
        <v>6.1291996025756926E-2</v>
      </c>
      <c r="AI180" s="11">
        <v>30</v>
      </c>
      <c r="AJ180" s="11">
        <v>5</v>
      </c>
      <c r="AK180">
        <f>SUMPRODUCT(AD180:AG180,'Coded Choice Data'!C180:F180)</f>
        <v>0.33622008914073537</v>
      </c>
      <c r="AL180">
        <f t="shared" si="23"/>
        <v>-1.0899893062510464</v>
      </c>
    </row>
    <row r="181" spans="14:38" x14ac:dyDescent="0.3">
      <c r="N181" s="11">
        <v>30</v>
      </c>
      <c r="O181" s="11">
        <v>6</v>
      </c>
      <c r="P181">
        <f>SUMPRODUCT($A$2:$L$2,'Survey Encoding'!C182:N182)</f>
        <v>-1.1407000318204914</v>
      </c>
      <c r="Q181">
        <f>SUMPRODUCT($A$2:$L$2,'Survey Encoding'!O182:Z182)</f>
        <v>0.66877574618081503</v>
      </c>
      <c r="R181">
        <f>SUMPRODUCT($A$2:$L$2,'Survey Encoding'!AA182:AL182)</f>
        <v>0.15000228289066947</v>
      </c>
      <c r="S181">
        <f>SUMPRODUCT($A$2:$L$2,'Survey Encoding'!AM182:AX182)</f>
        <v>-0.31352815855853916</v>
      </c>
      <c r="U181" s="11">
        <v>30</v>
      </c>
      <c r="V181" s="11">
        <v>6</v>
      </c>
      <c r="W181" s="1">
        <f t="shared" si="17"/>
        <v>0.31959521666873603</v>
      </c>
      <c r="X181" s="1">
        <f t="shared" si="18"/>
        <v>1.9518463020380199</v>
      </c>
      <c r="Y181" s="1">
        <f t="shared" si="19"/>
        <v>1.1618368950718627</v>
      </c>
      <c r="Z181" s="1">
        <f t="shared" si="20"/>
        <v>0.73086379864279061</v>
      </c>
      <c r="AB181" s="11">
        <v>30</v>
      </c>
      <c r="AC181" s="11">
        <v>6</v>
      </c>
      <c r="AD181">
        <f t="shared" si="21"/>
        <v>7.6749352055124564E-2</v>
      </c>
      <c r="AE181">
        <f t="shared" si="22"/>
        <v>0.46872709971714432</v>
      </c>
      <c r="AF181">
        <f t="shared" si="24"/>
        <v>0.27900989827056494</v>
      </c>
      <c r="AG181">
        <f t="shared" si="24"/>
        <v>0.17551364995716615</v>
      </c>
      <c r="AI181" s="11">
        <v>30</v>
      </c>
      <c r="AJ181" s="11">
        <v>6</v>
      </c>
      <c r="AK181">
        <f>SUMPRODUCT(AD181:AG181,'Coded Choice Data'!C181:F181)</f>
        <v>0.46872709971714432</v>
      </c>
      <c r="AL181">
        <f t="shared" si="23"/>
        <v>-0.75773455682766766</v>
      </c>
    </row>
    <row r="182" spans="14:38" x14ac:dyDescent="0.3">
      <c r="N182" s="11">
        <v>31</v>
      </c>
      <c r="O182" s="11">
        <v>1</v>
      </c>
      <c r="P182">
        <f>SUMPRODUCT($A$2:$L$2,'Survey Encoding'!C183:N183)</f>
        <v>-0.5677340101284214</v>
      </c>
      <c r="Q182">
        <f>SUMPRODUCT($A$2:$L$2,'Survey Encoding'!O183:Z183)</f>
        <v>-0.45781983272127458</v>
      </c>
      <c r="R182">
        <f>SUMPRODUCT($A$2:$L$2,'Survey Encoding'!AA183:AL183)</f>
        <v>-1.1407000318204914</v>
      </c>
      <c r="S182">
        <f>SUMPRODUCT($A$2:$L$2,'Survey Encoding'!AM183:AX183)</f>
        <v>-0.31352815855853916</v>
      </c>
      <c r="U182" s="11">
        <v>31</v>
      </c>
      <c r="V182" s="11">
        <v>1</v>
      </c>
      <c r="W182" s="1">
        <f t="shared" si="17"/>
        <v>0.56680836661762923</v>
      </c>
      <c r="X182" s="1">
        <f t="shared" si="18"/>
        <v>0.63266145083175696</v>
      </c>
      <c r="Y182" s="1">
        <f t="shared" si="19"/>
        <v>0.31959521666873603</v>
      </c>
      <c r="Z182" s="1">
        <f t="shared" si="20"/>
        <v>0.73086379864279061</v>
      </c>
      <c r="AB182" s="11">
        <v>31</v>
      </c>
      <c r="AC182" s="11">
        <v>1</v>
      </c>
      <c r="AD182">
        <f t="shared" si="21"/>
        <v>0.25192279789671945</v>
      </c>
      <c r="AE182">
        <f t="shared" si="22"/>
        <v>0.28119176109913269</v>
      </c>
      <c r="AF182">
        <f t="shared" si="24"/>
        <v>0.14204681144361231</v>
      </c>
      <c r="AG182">
        <f t="shared" si="24"/>
        <v>0.32483862956053577</v>
      </c>
      <c r="AI182" s="11">
        <v>31</v>
      </c>
      <c r="AJ182" s="11">
        <v>1</v>
      </c>
      <c r="AK182">
        <f>SUMPRODUCT(AD182:AG182,'Coded Choice Data'!C182:F182)</f>
        <v>0.32483862956053577</v>
      </c>
      <c r="AL182">
        <f t="shared" si="23"/>
        <v>-1.1244267443905935</v>
      </c>
    </row>
    <row r="183" spans="14:38" x14ac:dyDescent="0.3">
      <c r="N183" s="11">
        <v>31</v>
      </c>
      <c r="O183" s="11">
        <v>2</v>
      </c>
      <c r="P183">
        <f>SUMPRODUCT($A$2:$L$2,'Survey Encoding'!C184:N184)</f>
        <v>1.0311076931258887</v>
      </c>
      <c r="Q183">
        <f>SUMPRODUCT($A$2:$L$2,'Survey Encoding'!O184:Z184)</f>
        <v>1.3885885502977624</v>
      </c>
      <c r="R183">
        <f>SUMPRODUCT($A$2:$L$2,'Survey Encoding'!AA184:AL184)</f>
        <v>0.7637752520424238</v>
      </c>
      <c r="S183">
        <f>SUMPRODUCT($A$2:$L$2,'Survey Encoding'!AM184:AX184)</f>
        <v>-0.31352815855853916</v>
      </c>
      <c r="U183" s="11">
        <v>31</v>
      </c>
      <c r="V183" s="11">
        <v>2</v>
      </c>
      <c r="W183" s="1">
        <f t="shared" si="17"/>
        <v>2.8041702751355775</v>
      </c>
      <c r="X183" s="1">
        <f t="shared" si="18"/>
        <v>4.0091872913740838</v>
      </c>
      <c r="Y183" s="1">
        <f t="shared" si="19"/>
        <v>2.1463640092801262</v>
      </c>
      <c r="Z183" s="1">
        <f t="shared" si="20"/>
        <v>0.73086379864279061</v>
      </c>
      <c r="AB183" s="11">
        <v>31</v>
      </c>
      <c r="AC183" s="11">
        <v>2</v>
      </c>
      <c r="AD183">
        <f t="shared" si="21"/>
        <v>0.28937057636724789</v>
      </c>
      <c r="AE183">
        <f t="shared" si="22"/>
        <v>0.41371982563115672</v>
      </c>
      <c r="AF183">
        <f t="shared" si="24"/>
        <v>0.22148961351117596</v>
      </c>
      <c r="AG183">
        <f t="shared" si="24"/>
        <v>7.5419984490419451E-2</v>
      </c>
      <c r="AI183" s="11">
        <v>31</v>
      </c>
      <c r="AJ183" s="11">
        <v>2</v>
      </c>
      <c r="AK183">
        <f>SUMPRODUCT(AD183:AG183,'Coded Choice Data'!C183:F183)</f>
        <v>0.41371982563115672</v>
      </c>
      <c r="AL183">
        <f t="shared" si="23"/>
        <v>-0.88256628393845316</v>
      </c>
    </row>
    <row r="184" spans="14:38" x14ac:dyDescent="0.3">
      <c r="N184" s="11">
        <v>31</v>
      </c>
      <c r="O184" s="11">
        <v>3</v>
      </c>
      <c r="P184">
        <f>SUMPRODUCT($A$2:$L$2,'Survey Encoding'!C185:N185)</f>
        <v>0.15000228289066947</v>
      </c>
      <c r="Q184">
        <f>SUMPRODUCT($A$2:$L$2,'Survey Encoding'!O185:Z185)</f>
        <v>-0.5677340101284214</v>
      </c>
      <c r="R184">
        <f>SUMPRODUCT($A$2:$L$2,'Survey Encoding'!AA185:AL185)</f>
        <v>0.7637752520424238</v>
      </c>
      <c r="S184">
        <f>SUMPRODUCT($A$2:$L$2,'Survey Encoding'!AM185:AX185)</f>
        <v>-0.31352815855853916</v>
      </c>
      <c r="U184" s="11">
        <v>31</v>
      </c>
      <c r="V184" s="11">
        <v>3</v>
      </c>
      <c r="W184" s="1">
        <f t="shared" si="17"/>
        <v>1.1618368950718627</v>
      </c>
      <c r="X184" s="1">
        <f t="shared" si="18"/>
        <v>0.56680836661762923</v>
      </c>
      <c r="Y184" s="1">
        <f t="shared" si="19"/>
        <v>2.1463640092801262</v>
      </c>
      <c r="Z184" s="1">
        <f t="shared" si="20"/>
        <v>0.73086379864279061</v>
      </c>
      <c r="AB184" s="11">
        <v>31</v>
      </c>
      <c r="AC184" s="11">
        <v>3</v>
      </c>
      <c r="AD184">
        <f t="shared" si="21"/>
        <v>0.25225117529555219</v>
      </c>
      <c r="AE184">
        <f t="shared" si="22"/>
        <v>0.12306209008606635</v>
      </c>
      <c r="AF184">
        <f t="shared" si="24"/>
        <v>0.46600589656734631</v>
      </c>
      <c r="AG184">
        <f t="shared" si="24"/>
        <v>0.15868083805103511</v>
      </c>
      <c r="AI184" s="11">
        <v>31</v>
      </c>
      <c r="AJ184" s="11">
        <v>3</v>
      </c>
      <c r="AK184">
        <f>SUMPRODUCT(AD184:AG184,'Coded Choice Data'!C184:F184)</f>
        <v>0.46600589656734631</v>
      </c>
      <c r="AL184">
        <f t="shared" si="23"/>
        <v>-0.7635569913585506</v>
      </c>
    </row>
    <row r="185" spans="14:38" x14ac:dyDescent="0.3">
      <c r="N185" s="11">
        <v>31</v>
      </c>
      <c r="O185" s="11">
        <v>4</v>
      </c>
      <c r="P185">
        <f>SUMPRODUCT($A$2:$L$2,'Survey Encoding'!C186:N186)</f>
        <v>0.95180473721565084</v>
      </c>
      <c r="Q185">
        <f>SUMPRODUCT($A$2:$L$2,'Survey Encoding'!O186:Z186)</f>
        <v>1.0311076931258887</v>
      </c>
      <c r="R185">
        <f>SUMPRODUCT($A$2:$L$2,'Survey Encoding'!AA186:AL186)</f>
        <v>1.1267499129920266</v>
      </c>
      <c r="S185">
        <f>SUMPRODUCT($A$2:$L$2,'Survey Encoding'!AM186:AX186)</f>
        <v>-0.31352815855853916</v>
      </c>
      <c r="U185" s="11">
        <v>31</v>
      </c>
      <c r="V185" s="11">
        <v>4</v>
      </c>
      <c r="W185" s="1">
        <f t="shared" si="17"/>
        <v>2.5903803992282071</v>
      </c>
      <c r="X185" s="1">
        <f t="shared" si="18"/>
        <v>2.8041702751355775</v>
      </c>
      <c r="Y185" s="1">
        <f t="shared" si="19"/>
        <v>3.0856116792654009</v>
      </c>
      <c r="Z185" s="1">
        <f t="shared" si="20"/>
        <v>0.73086379864279061</v>
      </c>
      <c r="AB185" s="11">
        <v>31</v>
      </c>
      <c r="AC185" s="11">
        <v>4</v>
      </c>
      <c r="AD185">
        <f t="shared" si="21"/>
        <v>0.28122603892393339</v>
      </c>
      <c r="AE185">
        <f t="shared" si="22"/>
        <v>0.30443625159438997</v>
      </c>
      <c r="AF185">
        <f t="shared" si="24"/>
        <v>0.33499108875120381</v>
      </c>
      <c r="AG185">
        <f t="shared" si="24"/>
        <v>7.9346620730472786E-2</v>
      </c>
      <c r="AI185" s="11">
        <v>31</v>
      </c>
      <c r="AJ185" s="11">
        <v>4</v>
      </c>
      <c r="AK185">
        <f>SUMPRODUCT(AD185:AG185,'Coded Choice Data'!C185:F185)</f>
        <v>0.30443625159438997</v>
      </c>
      <c r="AL185">
        <f t="shared" si="23"/>
        <v>-1.1892935681196899</v>
      </c>
    </row>
    <row r="186" spans="14:38" x14ac:dyDescent="0.3">
      <c r="N186" s="11">
        <v>31</v>
      </c>
      <c r="O186" s="11">
        <v>5</v>
      </c>
      <c r="P186">
        <f>SUMPRODUCT($A$2:$L$2,'Survey Encoding'!C187:N187)</f>
        <v>1.3885885502977624</v>
      </c>
      <c r="Q186">
        <f>SUMPRODUCT($A$2:$L$2,'Survey Encoding'!O187:Z187)</f>
        <v>1.4106531441928372</v>
      </c>
      <c r="R186">
        <f>SUMPRODUCT($A$2:$L$2,'Survey Encoding'!AA187:AL187)</f>
        <v>1.1267499129920266</v>
      </c>
      <c r="S186">
        <f>SUMPRODUCT($A$2:$L$2,'Survey Encoding'!AM187:AX187)</f>
        <v>-0.31352815855853916</v>
      </c>
      <c r="U186" s="11">
        <v>31</v>
      </c>
      <c r="V186" s="11">
        <v>5</v>
      </c>
      <c r="W186" s="1">
        <f t="shared" si="17"/>
        <v>4.0091872913740838</v>
      </c>
      <c r="X186" s="1">
        <f t="shared" si="18"/>
        <v>4.0986315274095384</v>
      </c>
      <c r="Y186" s="1">
        <f t="shared" si="19"/>
        <v>3.0856116792654009</v>
      </c>
      <c r="Z186" s="1">
        <f t="shared" si="20"/>
        <v>0.73086379864279061</v>
      </c>
      <c r="AB186" s="11">
        <v>31</v>
      </c>
      <c r="AC186" s="11">
        <v>5</v>
      </c>
      <c r="AD186">
        <f t="shared" si="21"/>
        <v>0.33622008914073537</v>
      </c>
      <c r="AE186">
        <f t="shared" si="22"/>
        <v>0.34372109790569594</v>
      </c>
      <c r="AF186">
        <f t="shared" si="24"/>
        <v>0.25876681692781178</v>
      </c>
      <c r="AG186">
        <f t="shared" si="24"/>
        <v>6.1291996025756926E-2</v>
      </c>
      <c r="AI186" s="11">
        <v>31</v>
      </c>
      <c r="AJ186" s="11">
        <v>5</v>
      </c>
      <c r="AK186">
        <f>SUMPRODUCT(AD186:AG186,'Coded Choice Data'!C186:F186)</f>
        <v>0.34372109790569594</v>
      </c>
      <c r="AL186">
        <f t="shared" si="23"/>
        <v>-1.0679247123559716</v>
      </c>
    </row>
    <row r="187" spans="14:38" x14ac:dyDescent="0.3">
      <c r="N187" s="11">
        <v>31</v>
      </c>
      <c r="O187" s="11">
        <v>6</v>
      </c>
      <c r="P187">
        <f>SUMPRODUCT($A$2:$L$2,'Survey Encoding'!C188:N188)</f>
        <v>-1.1407000318204914</v>
      </c>
      <c r="Q187">
        <f>SUMPRODUCT($A$2:$L$2,'Survey Encoding'!O188:Z188)</f>
        <v>0.66877574618081503</v>
      </c>
      <c r="R187">
        <f>SUMPRODUCT($A$2:$L$2,'Survey Encoding'!AA188:AL188)</f>
        <v>0.15000228289066947</v>
      </c>
      <c r="S187">
        <f>SUMPRODUCT($A$2:$L$2,'Survey Encoding'!AM188:AX188)</f>
        <v>-0.31352815855853916</v>
      </c>
      <c r="U187" s="11">
        <v>31</v>
      </c>
      <c r="V187" s="11">
        <v>6</v>
      </c>
      <c r="W187" s="1">
        <f t="shared" si="17"/>
        <v>0.31959521666873603</v>
      </c>
      <c r="X187" s="1">
        <f t="shared" si="18"/>
        <v>1.9518463020380199</v>
      </c>
      <c r="Y187" s="1">
        <f t="shared" si="19"/>
        <v>1.1618368950718627</v>
      </c>
      <c r="Z187" s="1">
        <f t="shared" si="20"/>
        <v>0.73086379864279061</v>
      </c>
      <c r="AB187" s="11">
        <v>31</v>
      </c>
      <c r="AC187" s="11">
        <v>6</v>
      </c>
      <c r="AD187">
        <f t="shared" si="21"/>
        <v>7.6749352055124564E-2</v>
      </c>
      <c r="AE187">
        <f t="shared" si="22"/>
        <v>0.46872709971714432</v>
      </c>
      <c r="AF187">
        <f t="shared" si="24"/>
        <v>0.27900989827056494</v>
      </c>
      <c r="AG187">
        <f t="shared" si="24"/>
        <v>0.17551364995716615</v>
      </c>
      <c r="AI187" s="11">
        <v>31</v>
      </c>
      <c r="AJ187" s="11">
        <v>6</v>
      </c>
      <c r="AK187">
        <f>SUMPRODUCT(AD187:AG187,'Coded Choice Data'!C187:F187)</f>
        <v>0.27900989827056494</v>
      </c>
      <c r="AL187">
        <f t="shared" si="23"/>
        <v>-1.2765080201178134</v>
      </c>
    </row>
    <row r="188" spans="14:38" x14ac:dyDescent="0.3">
      <c r="N188" s="11">
        <v>32</v>
      </c>
      <c r="O188" s="11">
        <v>1</v>
      </c>
      <c r="P188">
        <f>SUMPRODUCT($A$2:$L$2,'Survey Encoding'!C189:N189)</f>
        <v>-0.5677340101284214</v>
      </c>
      <c r="Q188">
        <f>SUMPRODUCT($A$2:$L$2,'Survey Encoding'!O189:Z189)</f>
        <v>-0.45781983272127458</v>
      </c>
      <c r="R188">
        <f>SUMPRODUCT($A$2:$L$2,'Survey Encoding'!AA189:AL189)</f>
        <v>-1.1407000318204914</v>
      </c>
      <c r="S188">
        <f>SUMPRODUCT($A$2:$L$2,'Survey Encoding'!AM189:AX189)</f>
        <v>-0.31352815855853916</v>
      </c>
      <c r="U188" s="11">
        <v>32</v>
      </c>
      <c r="V188" s="11">
        <v>1</v>
      </c>
      <c r="W188" s="1">
        <f t="shared" si="17"/>
        <v>0.56680836661762923</v>
      </c>
      <c r="X188" s="1">
        <f t="shared" si="18"/>
        <v>0.63266145083175696</v>
      </c>
      <c r="Y188" s="1">
        <f t="shared" si="19"/>
        <v>0.31959521666873603</v>
      </c>
      <c r="Z188" s="1">
        <f t="shared" si="20"/>
        <v>0.73086379864279061</v>
      </c>
      <c r="AB188" s="11">
        <v>32</v>
      </c>
      <c r="AC188" s="11">
        <v>1</v>
      </c>
      <c r="AD188">
        <f t="shared" si="21"/>
        <v>0.25192279789671945</v>
      </c>
      <c r="AE188">
        <f t="shared" si="22"/>
        <v>0.28119176109913269</v>
      </c>
      <c r="AF188">
        <f t="shared" si="24"/>
        <v>0.14204681144361231</v>
      </c>
      <c r="AG188">
        <f t="shared" si="24"/>
        <v>0.32483862956053577</v>
      </c>
      <c r="AI188" s="11">
        <v>32</v>
      </c>
      <c r="AJ188" s="11">
        <v>1</v>
      </c>
      <c r="AK188">
        <f>SUMPRODUCT(AD188:AG188,'Coded Choice Data'!C188:F188)</f>
        <v>0.32483862956053577</v>
      </c>
      <c r="AL188">
        <f t="shared" si="23"/>
        <v>-1.1244267443905935</v>
      </c>
    </row>
    <row r="189" spans="14:38" x14ac:dyDescent="0.3">
      <c r="N189" s="11">
        <v>32</v>
      </c>
      <c r="O189" s="11">
        <v>2</v>
      </c>
      <c r="P189">
        <f>SUMPRODUCT($A$2:$L$2,'Survey Encoding'!C190:N190)</f>
        <v>1.0311076931258887</v>
      </c>
      <c r="Q189">
        <f>SUMPRODUCT($A$2:$L$2,'Survey Encoding'!O190:Z190)</f>
        <v>1.3885885502977624</v>
      </c>
      <c r="R189">
        <f>SUMPRODUCT($A$2:$L$2,'Survey Encoding'!AA190:AL190)</f>
        <v>0.7637752520424238</v>
      </c>
      <c r="S189">
        <f>SUMPRODUCT($A$2:$L$2,'Survey Encoding'!AM190:AX190)</f>
        <v>-0.31352815855853916</v>
      </c>
      <c r="U189" s="11">
        <v>32</v>
      </c>
      <c r="V189" s="11">
        <v>2</v>
      </c>
      <c r="W189" s="1">
        <f t="shared" si="17"/>
        <v>2.8041702751355775</v>
      </c>
      <c r="X189" s="1">
        <f t="shared" si="18"/>
        <v>4.0091872913740838</v>
      </c>
      <c r="Y189" s="1">
        <f t="shared" si="19"/>
        <v>2.1463640092801262</v>
      </c>
      <c r="Z189" s="1">
        <f t="shared" si="20"/>
        <v>0.73086379864279061</v>
      </c>
      <c r="AB189" s="11">
        <v>32</v>
      </c>
      <c r="AC189" s="11">
        <v>2</v>
      </c>
      <c r="AD189">
        <f t="shared" si="21"/>
        <v>0.28937057636724789</v>
      </c>
      <c r="AE189">
        <f t="shared" si="22"/>
        <v>0.41371982563115672</v>
      </c>
      <c r="AF189">
        <f t="shared" si="24"/>
        <v>0.22148961351117596</v>
      </c>
      <c r="AG189">
        <f t="shared" si="24"/>
        <v>7.5419984490419451E-2</v>
      </c>
      <c r="AI189" s="11">
        <v>32</v>
      </c>
      <c r="AJ189" s="11">
        <v>2</v>
      </c>
      <c r="AK189">
        <f>SUMPRODUCT(AD189:AG189,'Coded Choice Data'!C189:F189)</f>
        <v>0.28937057636724789</v>
      </c>
      <c r="AL189">
        <f t="shared" si="23"/>
        <v>-1.2400471411103269</v>
      </c>
    </row>
    <row r="190" spans="14:38" x14ac:dyDescent="0.3">
      <c r="N190" s="11">
        <v>32</v>
      </c>
      <c r="O190" s="11">
        <v>3</v>
      </c>
      <c r="P190">
        <f>SUMPRODUCT($A$2:$L$2,'Survey Encoding'!C191:N191)</f>
        <v>0.15000228289066947</v>
      </c>
      <c r="Q190">
        <f>SUMPRODUCT($A$2:$L$2,'Survey Encoding'!O191:Z191)</f>
        <v>-0.5677340101284214</v>
      </c>
      <c r="R190">
        <f>SUMPRODUCT($A$2:$L$2,'Survey Encoding'!AA191:AL191)</f>
        <v>0.7637752520424238</v>
      </c>
      <c r="S190">
        <f>SUMPRODUCT($A$2:$L$2,'Survey Encoding'!AM191:AX191)</f>
        <v>-0.31352815855853916</v>
      </c>
      <c r="U190" s="11">
        <v>32</v>
      </c>
      <c r="V190" s="11">
        <v>3</v>
      </c>
      <c r="W190" s="1">
        <f t="shared" si="17"/>
        <v>1.1618368950718627</v>
      </c>
      <c r="X190" s="1">
        <f t="shared" si="18"/>
        <v>0.56680836661762923</v>
      </c>
      <c r="Y190" s="1">
        <f t="shared" si="19"/>
        <v>2.1463640092801262</v>
      </c>
      <c r="Z190" s="1">
        <f t="shared" si="20"/>
        <v>0.73086379864279061</v>
      </c>
      <c r="AB190" s="11">
        <v>32</v>
      </c>
      <c r="AC190" s="11">
        <v>3</v>
      </c>
      <c r="AD190">
        <f t="shared" si="21"/>
        <v>0.25225117529555219</v>
      </c>
      <c r="AE190">
        <f t="shared" si="22"/>
        <v>0.12306209008606635</v>
      </c>
      <c r="AF190">
        <f t="shared" si="24"/>
        <v>0.46600589656734631</v>
      </c>
      <c r="AG190">
        <f t="shared" si="24"/>
        <v>0.15868083805103511</v>
      </c>
      <c r="AI190" s="11">
        <v>32</v>
      </c>
      <c r="AJ190" s="11">
        <v>3</v>
      </c>
      <c r="AK190">
        <f>SUMPRODUCT(AD190:AG190,'Coded Choice Data'!C190:F190)</f>
        <v>0.46600589656734631</v>
      </c>
      <c r="AL190">
        <f t="shared" si="23"/>
        <v>-0.7635569913585506</v>
      </c>
    </row>
    <row r="191" spans="14:38" x14ac:dyDescent="0.3">
      <c r="N191" s="11">
        <v>32</v>
      </c>
      <c r="O191" s="11">
        <v>4</v>
      </c>
      <c r="P191">
        <f>SUMPRODUCT($A$2:$L$2,'Survey Encoding'!C192:N192)</f>
        <v>0.95180473721565084</v>
      </c>
      <c r="Q191">
        <f>SUMPRODUCT($A$2:$L$2,'Survey Encoding'!O192:Z192)</f>
        <v>1.0311076931258887</v>
      </c>
      <c r="R191">
        <f>SUMPRODUCT($A$2:$L$2,'Survey Encoding'!AA192:AL192)</f>
        <v>1.1267499129920266</v>
      </c>
      <c r="S191">
        <f>SUMPRODUCT($A$2:$L$2,'Survey Encoding'!AM192:AX192)</f>
        <v>-0.31352815855853916</v>
      </c>
      <c r="U191" s="11">
        <v>32</v>
      </c>
      <c r="V191" s="11">
        <v>4</v>
      </c>
      <c r="W191" s="1">
        <f t="shared" si="17"/>
        <v>2.5903803992282071</v>
      </c>
      <c r="X191" s="1">
        <f t="shared" si="18"/>
        <v>2.8041702751355775</v>
      </c>
      <c r="Y191" s="1">
        <f t="shared" si="19"/>
        <v>3.0856116792654009</v>
      </c>
      <c r="Z191" s="1">
        <f t="shared" si="20"/>
        <v>0.73086379864279061</v>
      </c>
      <c r="AB191" s="11">
        <v>32</v>
      </c>
      <c r="AC191" s="11">
        <v>4</v>
      </c>
      <c r="AD191">
        <f t="shared" si="21"/>
        <v>0.28122603892393339</v>
      </c>
      <c r="AE191">
        <f t="shared" si="22"/>
        <v>0.30443625159438997</v>
      </c>
      <c r="AF191">
        <f t="shared" si="24"/>
        <v>0.33499108875120381</v>
      </c>
      <c r="AG191">
        <f t="shared" si="24"/>
        <v>7.9346620730472786E-2</v>
      </c>
      <c r="AI191" s="11">
        <v>32</v>
      </c>
      <c r="AJ191" s="11">
        <v>4</v>
      </c>
      <c r="AK191">
        <f>SUMPRODUCT(AD191:AG191,'Coded Choice Data'!C191:F191)</f>
        <v>0.33499108875120381</v>
      </c>
      <c r="AL191">
        <f t="shared" si="23"/>
        <v>-1.0936513482535519</v>
      </c>
    </row>
    <row r="192" spans="14:38" x14ac:dyDescent="0.3">
      <c r="N192" s="11">
        <v>32</v>
      </c>
      <c r="O192" s="11">
        <v>5</v>
      </c>
      <c r="P192">
        <f>SUMPRODUCT($A$2:$L$2,'Survey Encoding'!C193:N193)</f>
        <v>1.3885885502977624</v>
      </c>
      <c r="Q192">
        <f>SUMPRODUCT($A$2:$L$2,'Survey Encoding'!O193:Z193)</f>
        <v>1.4106531441928372</v>
      </c>
      <c r="R192">
        <f>SUMPRODUCT($A$2:$L$2,'Survey Encoding'!AA193:AL193)</f>
        <v>1.1267499129920266</v>
      </c>
      <c r="S192">
        <f>SUMPRODUCT($A$2:$L$2,'Survey Encoding'!AM193:AX193)</f>
        <v>-0.31352815855853916</v>
      </c>
      <c r="U192" s="11">
        <v>32</v>
      </c>
      <c r="V192" s="11">
        <v>5</v>
      </c>
      <c r="W192" s="1">
        <f t="shared" si="17"/>
        <v>4.0091872913740838</v>
      </c>
      <c r="X192" s="1">
        <f t="shared" si="18"/>
        <v>4.0986315274095384</v>
      </c>
      <c r="Y192" s="1">
        <f t="shared" si="19"/>
        <v>3.0856116792654009</v>
      </c>
      <c r="Z192" s="1">
        <f t="shared" si="20"/>
        <v>0.73086379864279061</v>
      </c>
      <c r="AB192" s="11">
        <v>32</v>
      </c>
      <c r="AC192" s="11">
        <v>5</v>
      </c>
      <c r="AD192">
        <f t="shared" si="21"/>
        <v>0.33622008914073537</v>
      </c>
      <c r="AE192">
        <f t="shared" si="22"/>
        <v>0.34372109790569594</v>
      </c>
      <c r="AF192">
        <f t="shared" si="24"/>
        <v>0.25876681692781178</v>
      </c>
      <c r="AG192">
        <f t="shared" si="24"/>
        <v>6.1291996025756926E-2</v>
      </c>
      <c r="AI192" s="11">
        <v>32</v>
      </c>
      <c r="AJ192" s="11">
        <v>5</v>
      </c>
      <c r="AK192">
        <f>SUMPRODUCT(AD192:AG192,'Coded Choice Data'!C192:F192)</f>
        <v>0.34372109790569594</v>
      </c>
      <c r="AL192">
        <f t="shared" si="23"/>
        <v>-1.0679247123559716</v>
      </c>
    </row>
    <row r="193" spans="14:38" x14ac:dyDescent="0.3">
      <c r="N193" s="11">
        <v>32</v>
      </c>
      <c r="O193" s="11">
        <v>6</v>
      </c>
      <c r="P193">
        <f>SUMPRODUCT($A$2:$L$2,'Survey Encoding'!C194:N194)</f>
        <v>-1.1407000318204914</v>
      </c>
      <c r="Q193">
        <f>SUMPRODUCT($A$2:$L$2,'Survey Encoding'!O194:Z194)</f>
        <v>0.66877574618081503</v>
      </c>
      <c r="R193">
        <f>SUMPRODUCT($A$2:$L$2,'Survey Encoding'!AA194:AL194)</f>
        <v>0.15000228289066947</v>
      </c>
      <c r="S193">
        <f>SUMPRODUCT($A$2:$L$2,'Survey Encoding'!AM194:AX194)</f>
        <v>-0.31352815855853916</v>
      </c>
      <c r="U193" s="11">
        <v>32</v>
      </c>
      <c r="V193" s="11">
        <v>6</v>
      </c>
      <c r="W193" s="1">
        <f t="shared" si="17"/>
        <v>0.31959521666873603</v>
      </c>
      <c r="X193" s="1">
        <f t="shared" si="18"/>
        <v>1.9518463020380199</v>
      </c>
      <c r="Y193" s="1">
        <f t="shared" si="19"/>
        <v>1.1618368950718627</v>
      </c>
      <c r="Z193" s="1">
        <f t="shared" si="20"/>
        <v>0.73086379864279061</v>
      </c>
      <c r="AB193" s="11">
        <v>32</v>
      </c>
      <c r="AC193" s="11">
        <v>6</v>
      </c>
      <c r="AD193">
        <f t="shared" si="21"/>
        <v>7.6749352055124564E-2</v>
      </c>
      <c r="AE193">
        <f t="shared" si="22"/>
        <v>0.46872709971714432</v>
      </c>
      <c r="AF193">
        <f t="shared" si="24"/>
        <v>0.27900989827056494</v>
      </c>
      <c r="AG193">
        <f t="shared" si="24"/>
        <v>0.17551364995716615</v>
      </c>
      <c r="AI193" s="11">
        <v>32</v>
      </c>
      <c r="AJ193" s="11">
        <v>6</v>
      </c>
      <c r="AK193">
        <f>SUMPRODUCT(AD193:AG193,'Coded Choice Data'!C193:F193)</f>
        <v>0.46872709971714432</v>
      </c>
      <c r="AL193">
        <f t="shared" si="23"/>
        <v>-0.75773455682766766</v>
      </c>
    </row>
    <row r="194" spans="14:38" x14ac:dyDescent="0.3">
      <c r="N194" s="11"/>
      <c r="O194" s="11"/>
      <c r="U194" s="11"/>
      <c r="V194" s="11"/>
      <c r="AB194" s="11"/>
      <c r="AC194" s="11"/>
      <c r="AI194" s="11"/>
      <c r="AJ194" s="11"/>
    </row>
    <row r="195" spans="14:38" x14ac:dyDescent="0.3">
      <c r="N195" s="11"/>
      <c r="O195" s="11"/>
      <c r="U195" s="11"/>
      <c r="V195" s="11"/>
      <c r="AB195" s="11"/>
      <c r="AC195" s="11"/>
      <c r="AI195" s="11"/>
      <c r="AJ195" s="11"/>
    </row>
    <row r="196" spans="14:38" x14ac:dyDescent="0.3">
      <c r="N196" s="11"/>
      <c r="O196" s="11"/>
      <c r="U196" s="11"/>
      <c r="V196" s="11"/>
      <c r="AB196" s="11"/>
      <c r="AC196" s="11"/>
      <c r="AI196" s="11"/>
      <c r="AJ196" s="11"/>
    </row>
    <row r="197" spans="14:38" x14ac:dyDescent="0.3">
      <c r="N197" s="11"/>
      <c r="O197" s="11"/>
      <c r="U197" s="11"/>
      <c r="V197" s="11"/>
      <c r="AB197" s="11"/>
      <c r="AC197" s="11"/>
      <c r="AI197" s="11"/>
      <c r="AJ197" s="11"/>
    </row>
    <row r="198" spans="14:38" x14ac:dyDescent="0.3">
      <c r="N198" s="11"/>
      <c r="O198" s="11"/>
      <c r="U198" s="11"/>
      <c r="V198" s="11"/>
      <c r="AB198" s="11"/>
      <c r="AC198" s="11"/>
      <c r="AI198" s="11"/>
      <c r="AJ198" s="11"/>
    </row>
    <row r="199" spans="14:38" x14ac:dyDescent="0.3">
      <c r="N199" s="11"/>
      <c r="O199" s="11"/>
      <c r="U199" s="11"/>
      <c r="V199" s="11"/>
      <c r="AB199" s="11"/>
      <c r="AC199" s="11"/>
      <c r="AI199" s="11"/>
      <c r="AJ199" s="11"/>
    </row>
    <row r="200" spans="14:38" x14ac:dyDescent="0.3">
      <c r="N200" s="11"/>
      <c r="O200" s="11"/>
      <c r="U200" s="11"/>
      <c r="V200" s="11"/>
      <c r="AB200" s="11"/>
      <c r="AC200" s="11"/>
      <c r="AI200" s="11"/>
      <c r="AJ200" s="11"/>
    </row>
    <row r="201" spans="14:38" x14ac:dyDescent="0.3">
      <c r="N201" s="11"/>
      <c r="O201" s="11"/>
      <c r="U201" s="11"/>
      <c r="V201" s="11"/>
      <c r="AB201" s="11"/>
      <c r="AC201" s="11"/>
      <c r="AI201" s="11"/>
      <c r="AJ201" s="11"/>
    </row>
    <row r="202" spans="14:38" x14ac:dyDescent="0.3">
      <c r="N202" s="11"/>
      <c r="O202" s="11"/>
      <c r="U202" s="11"/>
      <c r="V202" s="11"/>
      <c r="AB202" s="11"/>
      <c r="AC202" s="11"/>
      <c r="AI202" s="11"/>
      <c r="AJ202" s="11"/>
    </row>
    <row r="203" spans="14:38" x14ac:dyDescent="0.3">
      <c r="N203" s="11"/>
      <c r="O203" s="11"/>
      <c r="U203" s="11"/>
      <c r="V203" s="11"/>
      <c r="AB203" s="11"/>
      <c r="AC203" s="11"/>
      <c r="AI203" s="11"/>
      <c r="AJ203" s="11"/>
    </row>
    <row r="204" spans="14:38" x14ac:dyDescent="0.3">
      <c r="N204" s="11"/>
      <c r="O204" s="11"/>
      <c r="U204" s="11"/>
      <c r="V204" s="11"/>
      <c r="AB204" s="11"/>
      <c r="AC204" s="11"/>
      <c r="AI204" s="11"/>
      <c r="AJ204" s="11"/>
    </row>
    <row r="205" spans="14:38" x14ac:dyDescent="0.3">
      <c r="N205" s="11"/>
      <c r="O205" s="11"/>
      <c r="U205" s="11"/>
      <c r="V205" s="11"/>
      <c r="AB205" s="11"/>
      <c r="AC205" s="11"/>
      <c r="AI205" s="11"/>
      <c r="AJ205" s="11"/>
    </row>
    <row r="206" spans="14:38" x14ac:dyDescent="0.3">
      <c r="N206" s="11"/>
      <c r="O206" s="11"/>
      <c r="U206" s="11"/>
      <c r="V206" s="11"/>
      <c r="AB206" s="11"/>
      <c r="AC206" s="11"/>
      <c r="AI206" s="11"/>
      <c r="AJ206" s="11"/>
    </row>
    <row r="207" spans="14:38" x14ac:dyDescent="0.3">
      <c r="N207" s="11"/>
      <c r="O207" s="11"/>
      <c r="U207" s="11"/>
      <c r="V207" s="11"/>
      <c r="AB207" s="11"/>
      <c r="AC207" s="11"/>
      <c r="AI207" s="11"/>
      <c r="AJ207" s="11"/>
    </row>
    <row r="208" spans="14:38" x14ac:dyDescent="0.3">
      <c r="N208" s="11"/>
      <c r="O208" s="11"/>
      <c r="U208" s="11"/>
      <c r="V208" s="11"/>
      <c r="AB208" s="11"/>
      <c r="AC208" s="11"/>
      <c r="AI208" s="11"/>
      <c r="AJ208" s="11"/>
    </row>
    <row r="209" spans="14:36" x14ac:dyDescent="0.3">
      <c r="N209" s="11"/>
      <c r="O209" s="11"/>
      <c r="U209" s="11"/>
      <c r="V209" s="11"/>
      <c r="AB209" s="11"/>
      <c r="AC209" s="11"/>
      <c r="AI209" s="11"/>
      <c r="AJ209" s="11"/>
    </row>
    <row r="210" spans="14:36" x14ac:dyDescent="0.3">
      <c r="N210" s="11"/>
      <c r="O210" s="11"/>
      <c r="U210" s="11"/>
      <c r="V210" s="11"/>
      <c r="AB210" s="11"/>
      <c r="AC210" s="11"/>
      <c r="AI210" s="11"/>
      <c r="AJ210" s="11"/>
    </row>
    <row r="211" spans="14:36" x14ac:dyDescent="0.3">
      <c r="N211" s="11"/>
      <c r="O211" s="11"/>
      <c r="U211" s="11"/>
      <c r="V211" s="11"/>
      <c r="AB211" s="11"/>
      <c r="AC211" s="11"/>
      <c r="AI211" s="11"/>
      <c r="AJ211" s="11"/>
    </row>
    <row r="212" spans="14:36" x14ac:dyDescent="0.3">
      <c r="N212" s="11"/>
      <c r="O212" s="11"/>
      <c r="U212" s="11"/>
      <c r="V212" s="11"/>
      <c r="AB212" s="11"/>
      <c r="AC212" s="11"/>
      <c r="AI212" s="11"/>
      <c r="AJ212" s="11"/>
    </row>
    <row r="213" spans="14:36" x14ac:dyDescent="0.3">
      <c r="N213" s="11"/>
      <c r="O213" s="11"/>
      <c r="U213" s="11"/>
      <c r="V213" s="11"/>
      <c r="AB213" s="11"/>
      <c r="AC213" s="11"/>
      <c r="AI213" s="11"/>
      <c r="AJ213" s="11"/>
    </row>
    <row r="214" spans="14:36" x14ac:dyDescent="0.3">
      <c r="N214" s="11"/>
      <c r="O214" s="11"/>
      <c r="U214" s="11"/>
      <c r="V214" s="11"/>
      <c r="AB214" s="11"/>
      <c r="AC214" s="11"/>
      <c r="AI214" s="11"/>
      <c r="AJ214" s="11"/>
    </row>
    <row r="215" spans="14:36" x14ac:dyDescent="0.3">
      <c r="N215" s="11"/>
      <c r="O215" s="11"/>
      <c r="U215" s="11"/>
      <c r="V215" s="11"/>
      <c r="AB215" s="11"/>
      <c r="AC215" s="11"/>
      <c r="AI215" s="11"/>
      <c r="AJ215" s="11"/>
    </row>
    <row r="216" spans="14:36" x14ac:dyDescent="0.3">
      <c r="N216" s="11"/>
      <c r="O216" s="11"/>
      <c r="U216" s="11"/>
      <c r="V216" s="11"/>
      <c r="AB216" s="11"/>
      <c r="AC216" s="11"/>
      <c r="AI216" s="11"/>
      <c r="AJ216" s="11"/>
    </row>
    <row r="217" spans="14:36" x14ac:dyDescent="0.3">
      <c r="N217" s="11"/>
      <c r="O217" s="11"/>
      <c r="U217" s="11"/>
      <c r="V217" s="11"/>
      <c r="AB217" s="11"/>
      <c r="AC217" s="11"/>
      <c r="AI217" s="11"/>
      <c r="AJ217" s="11"/>
    </row>
    <row r="218" spans="14:36" x14ac:dyDescent="0.3">
      <c r="N218" s="11"/>
      <c r="O218" s="11"/>
      <c r="U218" s="11"/>
      <c r="V218" s="11"/>
      <c r="AB218" s="11"/>
      <c r="AC218" s="11"/>
      <c r="AI218" s="11"/>
      <c r="AJ218" s="11"/>
    </row>
    <row r="219" spans="14:36" x14ac:dyDescent="0.3">
      <c r="N219" s="11"/>
      <c r="O219" s="11"/>
      <c r="U219" s="11"/>
      <c r="V219" s="11"/>
      <c r="AB219" s="11"/>
      <c r="AC219" s="11"/>
      <c r="AI219" s="11"/>
      <c r="AJ219" s="11"/>
    </row>
    <row r="220" spans="14:36" x14ac:dyDescent="0.3">
      <c r="N220" s="11"/>
      <c r="O220" s="11"/>
      <c r="U220" s="11"/>
      <c r="V220" s="11"/>
      <c r="AB220" s="11"/>
      <c r="AC220" s="11"/>
      <c r="AI220" s="11"/>
      <c r="AJ220" s="11"/>
    </row>
    <row r="221" spans="14:36" x14ac:dyDescent="0.3">
      <c r="N221" s="11"/>
      <c r="O221" s="11"/>
      <c r="U221" s="11"/>
      <c r="V221" s="11"/>
      <c r="AB221" s="11"/>
      <c r="AC221" s="11"/>
      <c r="AI221" s="11"/>
      <c r="AJ221" s="11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EE2E1-68EA-4ADB-A689-84D4C7AA24FE}">
  <sheetPr codeName="Sheet5"/>
  <dimension ref="A2:I17"/>
  <sheetViews>
    <sheetView workbookViewId="0">
      <selection activeCell="O23" sqref="O23"/>
    </sheetView>
  </sheetViews>
  <sheetFormatPr defaultRowHeight="14.4" x14ac:dyDescent="0.3"/>
  <cols>
    <col min="1" max="1" width="16.33203125" bestFit="1" customWidth="1"/>
    <col min="5" max="5" width="21" bestFit="1" customWidth="1"/>
  </cols>
  <sheetData>
    <row r="2" spans="1:9" x14ac:dyDescent="0.3">
      <c r="A2" s="26" t="s">
        <v>26</v>
      </c>
      <c r="B2" s="26">
        <v>-0.31352815855853916</v>
      </c>
    </row>
    <row r="3" spans="1:9" x14ac:dyDescent="0.3">
      <c r="A3" s="26" t="s">
        <v>11</v>
      </c>
      <c r="B3" s="26">
        <v>0</v>
      </c>
      <c r="E3" s="26"/>
      <c r="F3" s="27" t="s">
        <v>47</v>
      </c>
      <c r="G3" s="27" t="s">
        <v>48</v>
      </c>
      <c r="H3" s="27" t="s">
        <v>49</v>
      </c>
      <c r="I3" s="27" t="s">
        <v>50</v>
      </c>
    </row>
    <row r="4" spans="1:9" x14ac:dyDescent="0.3">
      <c r="A4" s="26" t="s">
        <v>6</v>
      </c>
      <c r="B4" s="26">
        <v>-1.1407000318204914</v>
      </c>
      <c r="E4" s="26" t="s">
        <v>1</v>
      </c>
      <c r="F4" s="26">
        <f>MAX(B3:B6)</f>
        <v>0.28066986235554686</v>
      </c>
      <c r="G4" s="26">
        <f>MIN(B3:B6)</f>
        <v>-1.1407000318204914</v>
      </c>
      <c r="H4" s="26">
        <f>F4-G4</f>
        <v>1.4213698941760382</v>
      </c>
      <c r="I4" s="28">
        <f>H4/SUM($H$4:$H$7)</f>
        <v>0.44448007143217838</v>
      </c>
    </row>
    <row r="5" spans="1:9" x14ac:dyDescent="0.3">
      <c r="A5" s="26" t="s">
        <v>27</v>
      </c>
      <c r="B5" s="26">
        <v>0.28066986235554686</v>
      </c>
      <c r="E5" s="26" t="s">
        <v>2</v>
      </c>
      <c r="F5" s="26">
        <f>MAX(B7:B9)</f>
        <v>0.48020593812544515</v>
      </c>
      <c r="G5" s="26">
        <f>MIN(B7:B9)</f>
        <v>0</v>
      </c>
      <c r="H5" s="26">
        <f t="shared" ref="H5:H7" si="0">F5-G5</f>
        <v>0.48020593812544515</v>
      </c>
      <c r="I5" s="28">
        <f t="shared" ref="I5:I7" si="1">H5/SUM($H$4:$H$7)</f>
        <v>0.15016637861454457</v>
      </c>
    </row>
    <row r="6" spans="1:9" x14ac:dyDescent="0.3">
      <c r="A6" s="26" t="s">
        <v>15</v>
      </c>
      <c r="B6" s="26">
        <v>3.5933145540256353E-2</v>
      </c>
      <c r="E6" s="26" t="s">
        <v>3</v>
      </c>
      <c r="F6" s="26">
        <f>MAX(B10:B13)</f>
        <v>0.27023189264489678</v>
      </c>
      <c r="G6" s="26">
        <f>MIN(B10:B13)</f>
        <v>-0.16950017656656555</v>
      </c>
      <c r="H6" s="26">
        <f t="shared" si="0"/>
        <v>0.43973206921146235</v>
      </c>
      <c r="I6" s="28">
        <f t="shared" si="1"/>
        <v>0.13750969563586624</v>
      </c>
    </row>
    <row r="7" spans="1:9" x14ac:dyDescent="0.3">
      <c r="A7" s="26">
        <v>1</v>
      </c>
      <c r="B7" s="26">
        <v>0.27346526149016043</v>
      </c>
      <c r="E7" s="26" t="s">
        <v>4</v>
      </c>
      <c r="F7" s="26">
        <f>MAX(B14:B17)</f>
        <v>0.85651802034712998</v>
      </c>
      <c r="G7" s="26">
        <f>MIN(B14:B17)</f>
        <v>0</v>
      </c>
      <c r="H7" s="26">
        <f t="shared" si="0"/>
        <v>0.85651802034712998</v>
      </c>
      <c r="I7" s="28">
        <f t="shared" si="1"/>
        <v>0.26784385431741081</v>
      </c>
    </row>
    <row r="8" spans="1:9" x14ac:dyDescent="0.3">
      <c r="A8" s="26">
        <v>2</v>
      </c>
      <c r="B8" s="26">
        <v>0.48020593812544515</v>
      </c>
    </row>
    <row r="9" spans="1:9" x14ac:dyDescent="0.3">
      <c r="A9" s="26">
        <v>3</v>
      </c>
      <c r="B9" s="26">
        <v>0</v>
      </c>
    </row>
    <row r="10" spans="1:9" x14ac:dyDescent="0.3">
      <c r="A10" s="26">
        <v>30</v>
      </c>
      <c r="B10" s="26">
        <v>-0.16950017656656555</v>
      </c>
    </row>
    <row r="11" spans="1:9" x14ac:dyDescent="0.3">
      <c r="A11" s="26">
        <v>3</v>
      </c>
      <c r="B11" s="26">
        <v>0</v>
      </c>
    </row>
    <row r="12" spans="1:9" x14ac:dyDescent="0.3">
      <c r="A12" s="26">
        <v>7</v>
      </c>
      <c r="B12" s="26">
        <v>1.5931446284930796E-2</v>
      </c>
    </row>
    <row r="13" spans="1:9" x14ac:dyDescent="0.3">
      <c r="A13" s="26">
        <v>14</v>
      </c>
      <c r="B13" s="26">
        <v>0.27023189264489678</v>
      </c>
    </row>
    <row r="14" spans="1:9" x14ac:dyDescent="0.3">
      <c r="A14" s="26">
        <v>3.5</v>
      </c>
      <c r="B14" s="26">
        <v>0.3721744375403373</v>
      </c>
    </row>
    <row r="15" spans="1:9" x14ac:dyDescent="0.3">
      <c r="A15" s="26">
        <v>4</v>
      </c>
      <c r="B15" s="26">
        <v>0.85651802034712998</v>
      </c>
    </row>
    <row r="16" spans="1:9" x14ac:dyDescent="0.3">
      <c r="A16" s="26">
        <v>4.5</v>
      </c>
      <c r="B16" s="26">
        <v>0.28356931391697865</v>
      </c>
    </row>
    <row r="17" spans="1:2" x14ac:dyDescent="0.3">
      <c r="A17" s="26">
        <v>5</v>
      </c>
      <c r="B17" s="26">
        <v>0</v>
      </c>
    </row>
  </sheetData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EFD6F-15CA-48C4-87F0-5BA9B5542E99}">
  <sheetPr codeName="Sheet6"/>
  <dimension ref="A1:AG16"/>
  <sheetViews>
    <sheetView tabSelected="1" topLeftCell="J1" workbookViewId="0">
      <selection activeCell="AA14" sqref="AA14"/>
    </sheetView>
  </sheetViews>
  <sheetFormatPr defaultRowHeight="14.4" x14ac:dyDescent="0.3"/>
  <cols>
    <col min="1" max="1" width="2" customWidth="1"/>
    <col min="2" max="2" width="16.44140625" customWidth="1"/>
    <col min="3" max="3" width="22.5546875" customWidth="1"/>
    <col min="4" max="4" width="14.6640625" customWidth="1"/>
    <col min="5" max="5" width="14.109375" customWidth="1"/>
    <col min="6" max="6" width="2.88671875" customWidth="1"/>
    <col min="7" max="7" width="3.6640625" customWidth="1"/>
    <col min="8" max="8" width="18.21875" customWidth="1"/>
    <col min="9" max="9" width="16.33203125" bestFit="1" customWidth="1"/>
    <col min="10" max="10" width="14" customWidth="1"/>
    <col min="11" max="11" width="10.109375" customWidth="1"/>
    <col min="14" max="14" width="15.21875" bestFit="1" customWidth="1"/>
    <col min="16" max="16" width="21.5546875" bestFit="1" customWidth="1"/>
    <col min="17" max="17" width="12.6640625" bestFit="1" customWidth="1"/>
    <col min="18" max="18" width="15" bestFit="1" customWidth="1"/>
    <col min="19" max="19" width="16.33203125" bestFit="1" customWidth="1"/>
  </cols>
  <sheetData>
    <row r="1" spans="1:33" ht="15" thickBot="1" x14ac:dyDescent="0.35"/>
    <row r="2" spans="1:33" ht="28.8" x14ac:dyDescent="0.3">
      <c r="B2" s="56" t="s">
        <v>1</v>
      </c>
      <c r="C2" s="56" t="s">
        <v>2</v>
      </c>
      <c r="D2" s="56" t="s">
        <v>3</v>
      </c>
      <c r="E2" s="56" t="s">
        <v>4</v>
      </c>
      <c r="H2" s="59" t="s">
        <v>1</v>
      </c>
      <c r="I2" s="59" t="s">
        <v>2</v>
      </c>
      <c r="J2" s="59" t="s">
        <v>3</v>
      </c>
      <c r="K2" s="59" t="s">
        <v>4</v>
      </c>
    </row>
    <row r="3" spans="1:33" x14ac:dyDescent="0.3">
      <c r="B3" s="34" t="s">
        <v>27</v>
      </c>
      <c r="C3" s="34">
        <v>1</v>
      </c>
      <c r="D3" s="34">
        <v>7</v>
      </c>
      <c r="E3" s="34">
        <v>3.5</v>
      </c>
      <c r="H3" s="46" t="s">
        <v>27</v>
      </c>
      <c r="I3" s="46" t="s">
        <v>66</v>
      </c>
      <c r="J3" s="46" t="s">
        <v>67</v>
      </c>
      <c r="K3" s="46" t="s">
        <v>65</v>
      </c>
    </row>
    <row r="4" spans="1:33" x14ac:dyDescent="0.3">
      <c r="B4" s="34" t="s">
        <v>15</v>
      </c>
      <c r="C4" s="34">
        <v>2</v>
      </c>
      <c r="D4" s="34">
        <v>14</v>
      </c>
      <c r="E4" s="34">
        <v>4</v>
      </c>
      <c r="H4" s="23" t="s">
        <v>15</v>
      </c>
      <c r="I4" s="23" t="s">
        <v>63</v>
      </c>
      <c r="J4" s="23" t="s">
        <v>67</v>
      </c>
      <c r="K4" s="23" t="s">
        <v>65</v>
      </c>
    </row>
    <row r="5" spans="1:33" x14ac:dyDescent="0.3">
      <c r="H5" s="23" t="s">
        <v>27</v>
      </c>
      <c r="I5" s="23" t="s">
        <v>63</v>
      </c>
      <c r="J5" s="23" t="s">
        <v>64</v>
      </c>
      <c r="K5" s="23" t="s">
        <v>68</v>
      </c>
    </row>
    <row r="6" spans="1:33" x14ac:dyDescent="0.3">
      <c r="H6" s="23" t="s">
        <v>15</v>
      </c>
      <c r="I6" s="23" t="s">
        <v>66</v>
      </c>
      <c r="J6" s="23" t="s">
        <v>67</v>
      </c>
      <c r="K6" s="23" t="s">
        <v>68</v>
      </c>
    </row>
    <row r="7" spans="1:33" ht="15" thickBot="1" x14ac:dyDescent="0.35">
      <c r="H7" s="47" t="s">
        <v>15</v>
      </c>
      <c r="I7" s="47" t="s">
        <v>66</v>
      </c>
      <c r="J7" s="47" t="s">
        <v>64</v>
      </c>
      <c r="K7" s="47" t="s">
        <v>65</v>
      </c>
    </row>
    <row r="9" spans="1:33" x14ac:dyDescent="0.3">
      <c r="N9" s="57" t="s">
        <v>90</v>
      </c>
      <c r="O9" s="26">
        <v>-0.31352815855853916</v>
      </c>
      <c r="P9" s="34">
        <v>0</v>
      </c>
      <c r="Q9" s="34">
        <v>-1.1407000318204914</v>
      </c>
      <c r="R9" s="34">
        <v>0.28066986235554686</v>
      </c>
      <c r="S9" s="34">
        <v>3.5933145540256353E-2</v>
      </c>
      <c r="T9" s="34">
        <v>0.27346526149016043</v>
      </c>
      <c r="U9" s="34">
        <v>0.48020593812544515</v>
      </c>
      <c r="V9" s="34">
        <v>0</v>
      </c>
      <c r="W9" s="34">
        <v>-0.16950017656656555</v>
      </c>
      <c r="X9" s="34">
        <v>0</v>
      </c>
      <c r="Y9" s="34">
        <v>1.5931446284930796E-2</v>
      </c>
      <c r="Z9" s="34">
        <v>0.27023189264489678</v>
      </c>
      <c r="AA9" s="34">
        <v>0.3721744375403373</v>
      </c>
      <c r="AB9" s="34">
        <v>0.85651802034712998</v>
      </c>
      <c r="AC9" s="34">
        <v>0.28356931391697865</v>
      </c>
      <c r="AD9" s="34">
        <v>0</v>
      </c>
    </row>
    <row r="10" spans="1:33" s="41" customFormat="1" ht="27.6" customHeight="1" x14ac:dyDescent="0.3">
      <c r="A10" s="40"/>
      <c r="B10" s="40"/>
      <c r="C10" s="40"/>
      <c r="D10" s="40"/>
      <c r="E10" s="40"/>
      <c r="F10" s="40"/>
      <c r="G10" s="40"/>
      <c r="H10" s="58" t="s">
        <v>88</v>
      </c>
      <c r="I10" s="55" t="s">
        <v>1</v>
      </c>
      <c r="J10" s="55" t="s">
        <v>2</v>
      </c>
      <c r="K10" s="55" t="s">
        <v>3</v>
      </c>
      <c r="L10" s="55" t="s">
        <v>4</v>
      </c>
      <c r="N10" s="55" t="s">
        <v>91</v>
      </c>
      <c r="O10" s="56" t="s">
        <v>26</v>
      </c>
      <c r="P10" s="56" t="s">
        <v>11</v>
      </c>
      <c r="Q10" s="56" t="s">
        <v>6</v>
      </c>
      <c r="R10" s="56" t="s">
        <v>27</v>
      </c>
      <c r="S10" s="56" t="s">
        <v>15</v>
      </c>
      <c r="T10" s="56">
        <v>1</v>
      </c>
      <c r="U10" s="56">
        <v>2</v>
      </c>
      <c r="V10" s="56">
        <v>3</v>
      </c>
      <c r="W10" s="56">
        <v>30</v>
      </c>
      <c r="X10" s="56">
        <v>3</v>
      </c>
      <c r="Y10" s="56">
        <v>7</v>
      </c>
      <c r="Z10" s="56">
        <v>14</v>
      </c>
      <c r="AA10" s="56">
        <v>3.5</v>
      </c>
      <c r="AB10" s="56">
        <v>4</v>
      </c>
      <c r="AC10" s="56">
        <v>4.5</v>
      </c>
      <c r="AD10" s="56">
        <v>5</v>
      </c>
      <c r="AE10" s="55" t="s">
        <v>92</v>
      </c>
      <c r="AF10" s="55" t="s">
        <v>93</v>
      </c>
      <c r="AG10" s="55" t="s">
        <v>94</v>
      </c>
    </row>
    <row r="11" spans="1:33" s="1" customFormat="1" x14ac:dyDescent="0.3">
      <c r="A11"/>
      <c r="B11"/>
      <c r="C11"/>
      <c r="D11"/>
      <c r="E11"/>
      <c r="F11"/>
      <c r="G11"/>
      <c r="H11" s="34">
        <v>1</v>
      </c>
      <c r="I11" s="54" t="s">
        <v>27</v>
      </c>
      <c r="J11" s="54" t="s">
        <v>66</v>
      </c>
      <c r="K11" s="54" t="s">
        <v>67</v>
      </c>
      <c r="L11" s="54" t="s">
        <v>65</v>
      </c>
      <c r="N11" s="34">
        <v>1</v>
      </c>
      <c r="O11" s="34">
        <v>0</v>
      </c>
      <c r="P11" s="34">
        <v>0</v>
      </c>
      <c r="Q11" s="34">
        <v>0</v>
      </c>
      <c r="R11" s="34">
        <v>1</v>
      </c>
      <c r="S11" s="34">
        <v>0</v>
      </c>
      <c r="T11" s="34">
        <v>0</v>
      </c>
      <c r="U11" s="34">
        <v>1</v>
      </c>
      <c r="V11" s="34">
        <v>0</v>
      </c>
      <c r="W11" s="34">
        <v>0</v>
      </c>
      <c r="X11" s="34">
        <v>0</v>
      </c>
      <c r="Y11" s="34">
        <v>0</v>
      </c>
      <c r="Z11" s="34">
        <v>1</v>
      </c>
      <c r="AA11" s="34">
        <v>1</v>
      </c>
      <c r="AB11" s="34">
        <v>0</v>
      </c>
      <c r="AC11" s="34">
        <v>0</v>
      </c>
      <c r="AD11" s="34">
        <v>0</v>
      </c>
      <c r="AE11" s="34">
        <f>SUMPRODUCT($O$9:$AD$9,O11:AD11)</f>
        <v>1.403282130666226</v>
      </c>
      <c r="AF11" s="34">
        <f>EXP(AE11)</f>
        <v>4.0685315290103192</v>
      </c>
      <c r="AG11" s="60">
        <f>AF11/SUM($AF$11:$AF$16)</f>
        <v>0.21196475142437707</v>
      </c>
    </row>
    <row r="12" spans="1:33" s="1" customFormat="1" x14ac:dyDescent="0.3">
      <c r="A12"/>
      <c r="B12"/>
      <c r="C12"/>
      <c r="D12"/>
      <c r="E12"/>
      <c r="F12"/>
      <c r="G12"/>
      <c r="H12" s="34">
        <v>2</v>
      </c>
      <c r="I12" s="54" t="s">
        <v>15</v>
      </c>
      <c r="J12" s="54" t="s">
        <v>63</v>
      </c>
      <c r="K12" s="54" t="s">
        <v>67</v>
      </c>
      <c r="L12" s="54" t="s">
        <v>65</v>
      </c>
      <c r="N12" s="34">
        <v>2</v>
      </c>
      <c r="O12" s="34">
        <v>0</v>
      </c>
      <c r="P12" s="34">
        <v>0</v>
      </c>
      <c r="Q12" s="34">
        <v>0</v>
      </c>
      <c r="R12" s="34">
        <v>0</v>
      </c>
      <c r="S12" s="34">
        <v>1</v>
      </c>
      <c r="T12" s="34">
        <v>1</v>
      </c>
      <c r="U12" s="34">
        <v>0</v>
      </c>
      <c r="V12" s="34">
        <v>0</v>
      </c>
      <c r="W12" s="34">
        <v>0</v>
      </c>
      <c r="X12" s="34">
        <v>0</v>
      </c>
      <c r="Y12" s="34">
        <v>0</v>
      </c>
      <c r="Z12" s="34">
        <v>1</v>
      </c>
      <c r="AA12" s="34">
        <v>1</v>
      </c>
      <c r="AB12" s="34">
        <v>0</v>
      </c>
      <c r="AC12" s="34">
        <v>0</v>
      </c>
      <c r="AD12" s="34">
        <v>0</v>
      </c>
      <c r="AE12" s="34">
        <f t="shared" ref="AE12:AE16" si="0">SUMPRODUCT($O$9:$AD$9,O12:AD12)</f>
        <v>0.95180473721565084</v>
      </c>
      <c r="AF12" s="34">
        <f t="shared" ref="AF12:AF16" si="1">EXP(AE12)</f>
        <v>2.5903803992282071</v>
      </c>
      <c r="AG12" s="60">
        <f t="shared" ref="AG12:AG16" si="2">AF12/SUM($AF$11:$AF$16)</f>
        <v>0.13495516342982553</v>
      </c>
    </row>
    <row r="13" spans="1:33" s="1" customFormat="1" x14ac:dyDescent="0.3">
      <c r="A13"/>
      <c r="B13"/>
      <c r="C13"/>
      <c r="D13"/>
      <c r="E13"/>
      <c r="F13"/>
      <c r="G13"/>
      <c r="H13" s="34">
        <v>3</v>
      </c>
      <c r="I13" s="54" t="s">
        <v>27</v>
      </c>
      <c r="J13" s="54" t="s">
        <v>63</v>
      </c>
      <c r="K13" s="54" t="s">
        <v>64</v>
      </c>
      <c r="L13" s="54" t="s">
        <v>68</v>
      </c>
      <c r="N13" s="34">
        <v>3</v>
      </c>
      <c r="O13" s="34">
        <v>0</v>
      </c>
      <c r="P13" s="34">
        <v>0</v>
      </c>
      <c r="Q13" s="34">
        <v>0</v>
      </c>
      <c r="R13" s="34">
        <v>1</v>
      </c>
      <c r="S13" s="34">
        <v>0</v>
      </c>
      <c r="T13" s="34">
        <v>1</v>
      </c>
      <c r="U13" s="34">
        <v>0</v>
      </c>
      <c r="V13" s="34">
        <v>0</v>
      </c>
      <c r="W13" s="34">
        <v>0</v>
      </c>
      <c r="X13" s="34">
        <v>0</v>
      </c>
      <c r="Y13" s="34">
        <v>1</v>
      </c>
      <c r="Z13" s="34">
        <v>0</v>
      </c>
      <c r="AA13" s="34">
        <v>0</v>
      </c>
      <c r="AB13" s="34">
        <v>1</v>
      </c>
      <c r="AC13" s="34">
        <v>0</v>
      </c>
      <c r="AD13" s="34">
        <v>0</v>
      </c>
      <c r="AE13" s="34">
        <f t="shared" si="0"/>
        <v>1.4265845904777681</v>
      </c>
      <c r="AF13" s="34">
        <f t="shared" si="1"/>
        <v>4.1644515674985749</v>
      </c>
      <c r="AG13" s="60">
        <f t="shared" si="2"/>
        <v>0.21696205007373165</v>
      </c>
    </row>
    <row r="14" spans="1:33" s="1" customFormat="1" x14ac:dyDescent="0.3">
      <c r="A14"/>
      <c r="B14"/>
      <c r="C14"/>
      <c r="D14"/>
      <c r="E14"/>
      <c r="F14"/>
      <c r="G14"/>
      <c r="H14" s="34">
        <v>4</v>
      </c>
      <c r="I14" s="54" t="s">
        <v>15</v>
      </c>
      <c r="J14" s="54" t="s">
        <v>66</v>
      </c>
      <c r="K14" s="54" t="s">
        <v>67</v>
      </c>
      <c r="L14" s="54" t="s">
        <v>68</v>
      </c>
      <c r="N14" s="34">
        <v>4</v>
      </c>
      <c r="O14" s="34">
        <v>0</v>
      </c>
      <c r="P14" s="34">
        <v>0</v>
      </c>
      <c r="Q14" s="34">
        <v>0</v>
      </c>
      <c r="R14" s="34">
        <v>0</v>
      </c>
      <c r="S14" s="34">
        <v>1</v>
      </c>
      <c r="T14" s="34">
        <v>0</v>
      </c>
      <c r="U14" s="34">
        <v>1</v>
      </c>
      <c r="V14" s="34">
        <v>0</v>
      </c>
      <c r="W14" s="34">
        <v>0</v>
      </c>
      <c r="X14" s="34">
        <v>0</v>
      </c>
      <c r="Y14" s="34">
        <v>0</v>
      </c>
      <c r="Z14" s="34">
        <v>1</v>
      </c>
      <c r="AA14" s="34">
        <v>0</v>
      </c>
      <c r="AB14" s="34">
        <v>1</v>
      </c>
      <c r="AC14" s="34">
        <v>0</v>
      </c>
      <c r="AD14" s="34">
        <v>0</v>
      </c>
      <c r="AE14" s="34">
        <f t="shared" si="0"/>
        <v>1.6428889966577283</v>
      </c>
      <c r="AF14" s="34">
        <f t="shared" si="1"/>
        <v>5.1700843137578074</v>
      </c>
      <c r="AG14" s="60">
        <f t="shared" si="2"/>
        <v>0.26935409707278818</v>
      </c>
    </row>
    <row r="15" spans="1:33" s="1" customFormat="1" x14ac:dyDescent="0.3">
      <c r="A15"/>
      <c r="B15"/>
      <c r="C15"/>
      <c r="D15"/>
      <c r="E15"/>
      <c r="F15"/>
      <c r="G15"/>
      <c r="H15" s="34">
        <v>5</v>
      </c>
      <c r="I15" s="54" t="s">
        <v>15</v>
      </c>
      <c r="J15" s="54" t="s">
        <v>66</v>
      </c>
      <c r="K15" s="54" t="s">
        <v>64</v>
      </c>
      <c r="L15" s="54" t="s">
        <v>65</v>
      </c>
      <c r="N15" s="34">
        <v>5</v>
      </c>
      <c r="O15" s="34">
        <v>0</v>
      </c>
      <c r="P15" s="34">
        <v>0</v>
      </c>
      <c r="Q15" s="34">
        <v>0</v>
      </c>
      <c r="R15" s="34">
        <v>0</v>
      </c>
      <c r="S15" s="34">
        <v>1</v>
      </c>
      <c r="T15" s="34">
        <v>0</v>
      </c>
      <c r="U15" s="34">
        <v>1</v>
      </c>
      <c r="V15" s="34">
        <v>0</v>
      </c>
      <c r="W15" s="34">
        <v>0</v>
      </c>
      <c r="X15" s="34">
        <v>0</v>
      </c>
      <c r="Y15" s="34">
        <v>1</v>
      </c>
      <c r="Z15" s="34">
        <v>0</v>
      </c>
      <c r="AA15" s="34">
        <v>1</v>
      </c>
      <c r="AB15" s="34">
        <v>0</v>
      </c>
      <c r="AC15" s="34">
        <v>0</v>
      </c>
      <c r="AD15" s="34">
        <v>0</v>
      </c>
      <c r="AE15" s="34">
        <f t="shared" si="0"/>
        <v>0.90424496749096961</v>
      </c>
      <c r="AF15" s="34">
        <f t="shared" si="1"/>
        <v>2.4700662385103271</v>
      </c>
      <c r="AG15" s="60">
        <f t="shared" si="2"/>
        <v>0.12868696543564617</v>
      </c>
    </row>
    <row r="16" spans="1:33" s="1" customFormat="1" x14ac:dyDescent="0.3">
      <c r="A16"/>
      <c r="B16"/>
      <c r="C16"/>
      <c r="D16"/>
      <c r="E16"/>
      <c r="F16"/>
      <c r="G16"/>
      <c r="H16" s="54" t="s">
        <v>26</v>
      </c>
      <c r="I16" s="54" t="s">
        <v>89</v>
      </c>
      <c r="J16" s="54" t="s">
        <v>89</v>
      </c>
      <c r="K16" s="54" t="s">
        <v>89</v>
      </c>
      <c r="L16" s="54" t="s">
        <v>89</v>
      </c>
      <c r="N16" s="54" t="s">
        <v>26</v>
      </c>
      <c r="O16" s="34">
        <v>1</v>
      </c>
      <c r="P16" s="34">
        <v>0</v>
      </c>
      <c r="Q16" s="34">
        <v>0</v>
      </c>
      <c r="R16" s="34">
        <v>0</v>
      </c>
      <c r="S16" s="34">
        <v>0</v>
      </c>
      <c r="T16" s="34">
        <v>0</v>
      </c>
      <c r="U16" s="34">
        <v>0</v>
      </c>
      <c r="V16" s="34">
        <v>0</v>
      </c>
      <c r="W16" s="34">
        <v>0</v>
      </c>
      <c r="X16" s="34">
        <v>0</v>
      </c>
      <c r="Y16" s="34">
        <v>0</v>
      </c>
      <c r="Z16" s="34">
        <v>0</v>
      </c>
      <c r="AA16" s="34">
        <v>0</v>
      </c>
      <c r="AB16" s="34">
        <v>0</v>
      </c>
      <c r="AC16" s="34">
        <v>0</v>
      </c>
      <c r="AD16" s="34">
        <v>0</v>
      </c>
      <c r="AE16" s="34">
        <f t="shared" si="0"/>
        <v>-0.31352815855853916</v>
      </c>
      <c r="AF16" s="34">
        <f t="shared" si="1"/>
        <v>0.73086379864279061</v>
      </c>
      <c r="AG16" s="60">
        <f t="shared" si="2"/>
        <v>3.8076972563631364E-2</v>
      </c>
    </row>
  </sheetData>
  <pageMargins left="0.7" right="0.7" top="0.75" bottom="0.75" header="0.3" footer="0.3"/>
  <ignoredErrors>
    <ignoredError sqref="AE11:AE15" formulaRange="1"/>
  </ignoredError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1D3570-F632-4D9D-892C-7ED51A5267A4}">
  <sheetPr codeName="XLSTAT_20240414_145237_1">
    <tabColor rgb="FF007800"/>
  </sheetPr>
  <dimension ref="B1:P41"/>
  <sheetViews>
    <sheetView topLeftCell="A12" zoomScaleNormal="100" workbookViewId="0">
      <selection activeCell="C21" sqref="C21:F26"/>
    </sheetView>
  </sheetViews>
  <sheetFormatPr defaultRowHeight="14.4" x14ac:dyDescent="0.3"/>
  <cols>
    <col min="1" max="1" width="4.77734375" customWidth="1"/>
  </cols>
  <sheetData>
    <row r="1" spans="2:5" x14ac:dyDescent="0.3">
      <c r="B1" t="s">
        <v>87</v>
      </c>
    </row>
    <row r="2" spans="2:5" x14ac:dyDescent="0.3">
      <c r="B2" t="s">
        <v>59</v>
      </c>
    </row>
    <row r="3" spans="2:5" x14ac:dyDescent="0.3">
      <c r="B3" t="s">
        <v>86</v>
      </c>
    </row>
    <row r="4" spans="2:5" x14ac:dyDescent="0.3">
      <c r="B4" t="s">
        <v>60</v>
      </c>
    </row>
    <row r="5" spans="2:5" x14ac:dyDescent="0.3">
      <c r="B5" t="s">
        <v>61</v>
      </c>
    </row>
    <row r="6" spans="2:5" ht="37.950000000000003" customHeight="1" x14ac:dyDescent="0.3"/>
    <row r="7" spans="2:5" ht="16.2" customHeight="1" x14ac:dyDescent="0.3">
      <c r="B7" s="51"/>
    </row>
    <row r="10" spans="2:5" x14ac:dyDescent="0.3">
      <c r="B10" s="35" t="s">
        <v>62</v>
      </c>
    </row>
    <row r="11" spans="2:5" ht="15" thickBot="1" x14ac:dyDescent="0.35"/>
    <row r="12" spans="2:5" ht="43.2" x14ac:dyDescent="0.3">
      <c r="B12" s="36" t="s">
        <v>55</v>
      </c>
      <c r="C12" s="36" t="s">
        <v>56</v>
      </c>
      <c r="D12" s="36" t="s">
        <v>57</v>
      </c>
      <c r="E12" s="36" t="s">
        <v>58</v>
      </c>
    </row>
    <row r="13" spans="2:5" x14ac:dyDescent="0.3">
      <c r="B13" s="37" t="s">
        <v>1</v>
      </c>
      <c r="C13" s="37">
        <v>2</v>
      </c>
      <c r="D13" s="37" t="s">
        <v>27</v>
      </c>
      <c r="E13" s="37" t="s">
        <v>15</v>
      </c>
    </row>
    <row r="14" spans="2:5" x14ac:dyDescent="0.3">
      <c r="B14" s="38" t="s">
        <v>2</v>
      </c>
      <c r="C14" s="38">
        <v>2</v>
      </c>
      <c r="D14" s="38" t="s">
        <v>63</v>
      </c>
      <c r="E14" s="38" t="s">
        <v>66</v>
      </c>
    </row>
    <row r="15" spans="2:5" x14ac:dyDescent="0.3">
      <c r="B15" s="38" t="s">
        <v>3</v>
      </c>
      <c r="C15" s="38">
        <v>2</v>
      </c>
      <c r="D15" s="38" t="s">
        <v>64</v>
      </c>
      <c r="E15" s="38" t="s">
        <v>67</v>
      </c>
    </row>
    <row r="16" spans="2:5" ht="15" thickBot="1" x14ac:dyDescent="0.35">
      <c r="B16" s="39" t="s">
        <v>4</v>
      </c>
      <c r="C16" s="39">
        <v>2</v>
      </c>
      <c r="D16" s="39" t="s">
        <v>65</v>
      </c>
      <c r="E16" s="39" t="s">
        <v>68</v>
      </c>
    </row>
    <row r="19" spans="2:16" x14ac:dyDescent="0.3">
      <c r="B19" s="35" t="s">
        <v>69</v>
      </c>
    </row>
    <row r="20" spans="2:16" ht="15" thickBot="1" x14ac:dyDescent="0.35"/>
    <row r="21" spans="2:16" ht="43.2" x14ac:dyDescent="0.3">
      <c r="B21" s="43" t="s">
        <v>0</v>
      </c>
      <c r="C21" s="36" t="s">
        <v>1</v>
      </c>
      <c r="D21" s="36" t="s">
        <v>2</v>
      </c>
      <c r="E21" s="36" t="s">
        <v>3</v>
      </c>
      <c r="F21" s="36" t="s">
        <v>4</v>
      </c>
      <c r="G21" s="36" t="s">
        <v>71</v>
      </c>
      <c r="H21" s="36" t="s">
        <v>72</v>
      </c>
      <c r="I21" s="36" t="s">
        <v>73</v>
      </c>
      <c r="J21" s="36" t="s">
        <v>74</v>
      </c>
      <c r="K21" s="36" t="s">
        <v>75</v>
      </c>
      <c r="L21" s="36" t="s">
        <v>76</v>
      </c>
      <c r="M21" s="36" t="s">
        <v>77</v>
      </c>
      <c r="N21" s="36" t="s">
        <v>78</v>
      </c>
      <c r="O21" s="36" t="s">
        <v>79</v>
      </c>
      <c r="P21" s="36" t="s">
        <v>80</v>
      </c>
    </row>
    <row r="22" spans="2:16" x14ac:dyDescent="0.3">
      <c r="B22" s="44" t="s">
        <v>5</v>
      </c>
      <c r="C22" s="46" t="s">
        <v>27</v>
      </c>
      <c r="D22" s="46" t="s">
        <v>66</v>
      </c>
      <c r="E22" s="46" t="s">
        <v>67</v>
      </c>
      <c r="F22" s="46" t="s">
        <v>65</v>
      </c>
      <c r="G22" s="37" t="s">
        <v>70</v>
      </c>
      <c r="H22" s="37" t="s">
        <v>70</v>
      </c>
      <c r="I22" s="37" t="s">
        <v>70</v>
      </c>
      <c r="J22" s="37" t="s">
        <v>70</v>
      </c>
      <c r="K22" s="37" t="s">
        <v>70</v>
      </c>
      <c r="L22" s="37" t="s">
        <v>70</v>
      </c>
      <c r="M22" s="37" t="s">
        <v>70</v>
      </c>
      <c r="N22" s="37" t="s">
        <v>70</v>
      </c>
      <c r="O22" s="37" t="s">
        <v>70</v>
      </c>
      <c r="P22" s="37" t="s">
        <v>70</v>
      </c>
    </row>
    <row r="23" spans="2:16" x14ac:dyDescent="0.3">
      <c r="B23" s="42" t="s">
        <v>7</v>
      </c>
      <c r="C23" s="23" t="s">
        <v>15</v>
      </c>
      <c r="D23" s="23" t="s">
        <v>63</v>
      </c>
      <c r="E23" s="23" t="s">
        <v>67</v>
      </c>
      <c r="F23" s="23" t="s">
        <v>65</v>
      </c>
      <c r="G23" s="38" t="s">
        <v>70</v>
      </c>
      <c r="H23" s="38" t="s">
        <v>70</v>
      </c>
      <c r="I23" s="38" t="s">
        <v>70</v>
      </c>
      <c r="J23" s="38" t="s">
        <v>70</v>
      </c>
      <c r="K23" s="38" t="s">
        <v>70</v>
      </c>
      <c r="L23" s="38" t="s">
        <v>70</v>
      </c>
      <c r="M23" s="38" t="s">
        <v>70</v>
      </c>
      <c r="N23" s="38" t="s">
        <v>70</v>
      </c>
      <c r="O23" s="38" t="s">
        <v>70</v>
      </c>
      <c r="P23" s="38" t="s">
        <v>70</v>
      </c>
    </row>
    <row r="24" spans="2:16" x14ac:dyDescent="0.3">
      <c r="B24" s="42" t="s">
        <v>9</v>
      </c>
      <c r="C24" s="23" t="s">
        <v>27</v>
      </c>
      <c r="D24" s="23" t="s">
        <v>63</v>
      </c>
      <c r="E24" s="23" t="s">
        <v>64</v>
      </c>
      <c r="F24" s="23" t="s">
        <v>68</v>
      </c>
      <c r="G24" s="38" t="s">
        <v>70</v>
      </c>
      <c r="H24" s="38" t="s">
        <v>70</v>
      </c>
      <c r="I24" s="38" t="s">
        <v>70</v>
      </c>
      <c r="J24" s="38" t="s">
        <v>70</v>
      </c>
      <c r="K24" s="38" t="s">
        <v>70</v>
      </c>
      <c r="L24" s="38" t="s">
        <v>70</v>
      </c>
      <c r="M24" s="38" t="s">
        <v>70</v>
      </c>
      <c r="N24" s="38" t="s">
        <v>70</v>
      </c>
      <c r="O24" s="38" t="s">
        <v>70</v>
      </c>
      <c r="P24" s="38" t="s">
        <v>70</v>
      </c>
    </row>
    <row r="25" spans="2:16" x14ac:dyDescent="0.3">
      <c r="B25" s="42" t="s">
        <v>10</v>
      </c>
      <c r="C25" s="23" t="s">
        <v>15</v>
      </c>
      <c r="D25" s="23" t="s">
        <v>66</v>
      </c>
      <c r="E25" s="23" t="s">
        <v>67</v>
      </c>
      <c r="F25" s="23" t="s">
        <v>68</v>
      </c>
      <c r="G25" s="38" t="s">
        <v>70</v>
      </c>
      <c r="H25" s="38" t="s">
        <v>70</v>
      </c>
      <c r="I25" s="38" t="s">
        <v>70</v>
      </c>
      <c r="J25" s="38" t="s">
        <v>70</v>
      </c>
      <c r="K25" s="38" t="s">
        <v>70</v>
      </c>
      <c r="L25" s="38" t="s">
        <v>70</v>
      </c>
      <c r="M25" s="38" t="s">
        <v>70</v>
      </c>
      <c r="N25" s="38" t="s">
        <v>70</v>
      </c>
      <c r="O25" s="38" t="s">
        <v>70</v>
      </c>
      <c r="P25" s="38" t="s">
        <v>70</v>
      </c>
    </row>
    <row r="26" spans="2:16" ht="15" thickBot="1" x14ac:dyDescent="0.35">
      <c r="B26" s="45" t="s">
        <v>12</v>
      </c>
      <c r="C26" s="47" t="s">
        <v>15</v>
      </c>
      <c r="D26" s="47" t="s">
        <v>66</v>
      </c>
      <c r="E26" s="47" t="s">
        <v>64</v>
      </c>
      <c r="F26" s="47" t="s">
        <v>65</v>
      </c>
      <c r="G26" s="39" t="s">
        <v>70</v>
      </c>
      <c r="H26" s="39" t="s">
        <v>70</v>
      </c>
      <c r="I26" s="39" t="s">
        <v>70</v>
      </c>
      <c r="J26" s="39" t="s">
        <v>70</v>
      </c>
      <c r="K26" s="39" t="s">
        <v>70</v>
      </c>
      <c r="L26" s="39" t="s">
        <v>70</v>
      </c>
      <c r="M26" s="39" t="s">
        <v>70</v>
      </c>
      <c r="N26" s="39" t="s">
        <v>70</v>
      </c>
      <c r="O26" s="39" t="s">
        <v>70</v>
      </c>
      <c r="P26" s="39" t="s">
        <v>70</v>
      </c>
    </row>
    <row r="30" spans="2:16" x14ac:dyDescent="0.3">
      <c r="B30" s="48" t="s">
        <v>81</v>
      </c>
    </row>
    <row r="33" spans="2:4" x14ac:dyDescent="0.3">
      <c r="B33" s="35" t="s">
        <v>82</v>
      </c>
    </row>
    <row r="34" spans="2:4" ht="15" thickBot="1" x14ac:dyDescent="0.35"/>
    <row r="35" spans="2:4" ht="28.8" x14ac:dyDescent="0.3">
      <c r="B35" s="36" t="s">
        <v>83</v>
      </c>
      <c r="C35" s="36" t="s">
        <v>84</v>
      </c>
      <c r="D35" s="36" t="s">
        <v>85</v>
      </c>
    </row>
    <row r="36" spans="2:4" x14ac:dyDescent="0.3">
      <c r="B36" s="52">
        <v>2</v>
      </c>
      <c r="C36" s="53">
        <v>0.31036911478307194</v>
      </c>
      <c r="D36" s="53">
        <v>0.80073740291680784</v>
      </c>
    </row>
    <row r="37" spans="2:4" x14ac:dyDescent="0.3">
      <c r="B37" s="38">
        <v>2</v>
      </c>
      <c r="C37" s="49">
        <v>0.31036911478307194</v>
      </c>
      <c r="D37" s="49">
        <v>0.80073740291680784</v>
      </c>
    </row>
    <row r="38" spans="2:4" x14ac:dyDescent="0.3">
      <c r="B38" s="38">
        <v>2</v>
      </c>
      <c r="C38" s="49">
        <v>0.31036911478307194</v>
      </c>
      <c r="D38" s="49">
        <v>0.80073740291680784</v>
      </c>
    </row>
    <row r="39" spans="2:4" x14ac:dyDescent="0.3">
      <c r="B39" s="38">
        <v>2</v>
      </c>
      <c r="C39" s="49">
        <v>0.31036911478307183</v>
      </c>
      <c r="D39" s="49">
        <v>0.80073740291680817</v>
      </c>
    </row>
    <row r="40" spans="2:4" x14ac:dyDescent="0.3">
      <c r="B40" s="38">
        <v>2</v>
      </c>
      <c r="C40" s="49">
        <v>0.31036911478307194</v>
      </c>
      <c r="D40" s="49">
        <v>0.80073740291680784</v>
      </c>
    </row>
    <row r="41" spans="2:4" ht="15" thickBot="1" x14ac:dyDescent="0.35">
      <c r="B41" s="39">
        <v>2</v>
      </c>
      <c r="C41" s="50">
        <v>0.31036911478307183</v>
      </c>
      <c r="D41" s="50">
        <v>0.80073740291680784</v>
      </c>
    </row>
  </sheetData>
  <pageMargins left="0.7" right="0.7" top="0.75" bottom="0.75" header="0.3" footer="0.3"/>
  <ignoredErrors>
    <ignoredError sqref="C22:C26 D22:D26 E22:E26 F22:F26" numberStoredAsText="1"/>
    <ignoredError sqref="A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T830532">
              <controlPr defaultSize="0" print="0" autoFill="0" autoPict="0" macro="[0]!ReRunXLSTAT">
                <anchor moveWithCells="1" sizeWithCells="1">
                  <from>
                    <xdr:col>1</xdr:col>
                    <xdr:colOff>0</xdr:colOff>
                    <xdr:row>27</xdr:row>
                    <xdr:rowOff>0</xdr:rowOff>
                  </from>
                  <to>
                    <xdr:col>3</xdr:col>
                    <xdr:colOff>0</xdr:colOff>
                    <xdr:row>29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4" name="DD675364">
              <controlPr defaultSize="0" autoFill="0" autoPict="0" macro="[0]!GoToResultsNew0414202414524488">
                <anchor moveWithCells="1">
                  <from>
                    <xdr:col>1</xdr:col>
                    <xdr:colOff>0</xdr:colOff>
                    <xdr:row>6</xdr:row>
                    <xdr:rowOff>0</xdr:rowOff>
                  </from>
                  <to>
                    <xdr:col>5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Design Matrix</vt:lpstr>
      <vt:lpstr>Survey Encoding</vt:lpstr>
      <vt:lpstr>Coded Choice Data</vt:lpstr>
      <vt:lpstr>Utilities</vt:lpstr>
      <vt:lpstr>Importance</vt:lpstr>
      <vt:lpstr>Market Simulation</vt:lpstr>
      <vt:lpstr>Appendix Conjoint Design 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kowshik kowshik</dc:creator>
  <cp:lastModifiedBy>kowshik kowshik</cp:lastModifiedBy>
  <dcterms:created xsi:type="dcterms:W3CDTF">2024-04-13T14:43:43Z</dcterms:created>
  <dcterms:modified xsi:type="dcterms:W3CDTF">2024-04-14T20:21:56Z</dcterms:modified>
</cp:coreProperties>
</file>